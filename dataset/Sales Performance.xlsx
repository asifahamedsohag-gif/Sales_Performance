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ata Analysis\Module-6 Assignment\"/>
    </mc:Choice>
  </mc:AlternateContent>
  <xr:revisionPtr revIDLastSave="0" documentId="13_ncr:1_{DE1437A3-2F0F-432A-80FE-256B046AD47A}" xr6:coauthVersionLast="47" xr6:coauthVersionMax="47" xr10:uidLastSave="{00000000-0000-0000-0000-000000000000}"/>
  <bookViews>
    <workbookView xWindow="-110" yWindow="-110" windowWidth="19420" windowHeight="11020" firstSheet="3" activeTab="6" xr2:uid="{00000000-000D-0000-FFFF-FFFF00000000}"/>
  </bookViews>
  <sheets>
    <sheet name="Raw Data " sheetId="1" r:id="rId1"/>
    <sheet name="Cleaned Data" sheetId="2" r:id="rId2"/>
    <sheet name="Region wise total sales" sheetId="4" r:id="rId3"/>
    <sheet name="Product wise total sales" sheetId="6" r:id="rId4"/>
    <sheet name="Month wise total sales" sheetId="7" r:id="rId5"/>
    <sheet name="Helper" sheetId="5" r:id="rId6"/>
    <sheet name="Dashboard" sheetId="8" r:id="rId7"/>
  </sheets>
  <definedNames>
    <definedName name="ExternalData_1" localSheetId="1" hidden="1">'Cleaned Data'!$A$1:$K$201</definedName>
    <definedName name="Slicer_Order_Date__Month">#N/A</definedName>
    <definedName name="Slicer_Product">#N/A</definedName>
    <definedName name="Slicer_Region">#N/A</definedName>
  </definedNames>
  <calcPr calcId="191029"/>
  <pivotCaches>
    <pivotCache cacheId="226" r:id="rId8"/>
    <pivotCache cacheId="229" r:id="rId9"/>
    <pivotCache cacheId="232" r:id="rId10"/>
    <pivotCache cacheId="235" r:id="rId11"/>
    <pivotCache cacheId="238" r:id="rId12"/>
    <pivotCache cacheId="241" r:id="rId13"/>
  </pivotCaches>
  <extLst>
    <ext xmlns:x14="http://schemas.microsoft.com/office/spreadsheetml/2009/9/main" uri="{876F7934-8845-4945-9796-88D515C7AA90}">
      <x14:pivotCaches>
        <pivotCache cacheId="99"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97d4166a-e5ec-4cf6-8ad8-fb3c61170b53" name="Sales Data" connection="Query - Sales Data"/>
        </x15:modelTables>
        <x15:extLst>
          <ext xmlns:x16="http://schemas.microsoft.com/office/spreadsheetml/2014/11/main" uri="{9835A34E-60A6-4A7C-AAB8-D5F71C897F49}">
            <x16:modelTimeGroupings>
              <x16:modelTimeGrouping tableName="Sales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4B43CD-70A0-4DAA-BB43-953BED1B1694}" keepAlive="1" name="ModelConnection_ExternalData_1" description="Data Model" type="5" refreshedVersion="8" minRefreshableVersion="5" saveData="1">
    <dbPr connection="Data Model Connection" command="Sales Data" commandType="3"/>
    <extLst>
      <ext xmlns:x15="http://schemas.microsoft.com/office/spreadsheetml/2010/11/main" uri="{DE250136-89BD-433C-8126-D09CA5730AF9}">
        <x15:connection id="" model="1"/>
      </ext>
    </extLst>
  </connection>
  <connection id="2" xr16:uid="{E12F2067-1908-4143-BDB8-C9474C9CB00C}" name="Query - Sales Data" description="Connection to the 'Sales Data' query in the workbook." type="100" refreshedVersion="8" minRefreshableVersion="5">
    <extLst>
      <ext xmlns:x15="http://schemas.microsoft.com/office/spreadsheetml/2010/11/main" uri="{DE250136-89BD-433C-8126-D09CA5730AF9}">
        <x15:connection id="adb36da1-295c-43b9-812a-4dafd5b78a80"/>
      </ext>
    </extLst>
  </connection>
  <connection id="3" xr16:uid="{3EF52441-B9AF-435E-A9B1-3E383D2B19A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<sst xmlns="http://schemas.openxmlformats.org/spreadsheetml/2006/main" count="2094" uniqueCount="251">
  <si>
    <t>Order Date</t>
  </si>
  <si>
    <t>Region</t>
  </si>
  <si>
    <t>Customer</t>
  </si>
  <si>
    <t>Product</t>
  </si>
  <si>
    <t>Quantity</t>
  </si>
  <si>
    <t>Unit Price</t>
  </si>
  <si>
    <t>Sales Amount</t>
  </si>
  <si>
    <t>2024-10-16</t>
  </si>
  <si>
    <t>North</t>
  </si>
  <si>
    <t>Acme Corp</t>
  </si>
  <si>
    <t>Headset</t>
  </si>
  <si>
    <t>2023-04-15</t>
  </si>
  <si>
    <t>Central</t>
  </si>
  <si>
    <t>GlobalTech</t>
  </si>
  <si>
    <t>External SSD</t>
  </si>
  <si>
    <t>2023-04-06</t>
  </si>
  <si>
    <t>South</t>
  </si>
  <si>
    <t>NovaBuy</t>
  </si>
  <si>
    <t>Printer</t>
  </si>
  <si>
    <t>2023-07-23</t>
  </si>
  <si>
    <t>OceanBase</t>
  </si>
  <si>
    <t>Mouse</t>
  </si>
  <si>
    <t>2023-01-07</t>
  </si>
  <si>
    <t>Webcam</t>
  </si>
  <si>
    <t>2023-12-11</t>
  </si>
  <si>
    <t>Desk Chair</t>
  </si>
  <si>
    <t>2023-12-19</t>
  </si>
  <si>
    <t>SkyRetail</t>
  </si>
  <si>
    <t>Laptop</t>
  </si>
  <si>
    <t>2024-01-23</t>
  </si>
  <si>
    <t>BlueStar</t>
  </si>
  <si>
    <t>2024-01-06</t>
  </si>
  <si>
    <t>Monitor</t>
  </si>
  <si>
    <t>2023-10-24</t>
  </si>
  <si>
    <t>2024-10-12</t>
  </si>
  <si>
    <t>East</t>
  </si>
  <si>
    <t>BrightMart</t>
  </si>
  <si>
    <t>2023-10-01</t>
  </si>
  <si>
    <t>GreenLeaf Inc</t>
  </si>
  <si>
    <t>Keyboard</t>
  </si>
  <si>
    <t>2023-06-17</t>
  </si>
  <si>
    <t>West</t>
  </si>
  <si>
    <t>2023-11-29</t>
  </si>
  <si>
    <t>2023-03-09</t>
  </si>
  <si>
    <t>2024-02-10</t>
  </si>
  <si>
    <t>2024-07-28</t>
  </si>
  <si>
    <t>2024-02-13</t>
  </si>
  <si>
    <t>2023-02-18</t>
  </si>
  <si>
    <t>2024-01-30</t>
  </si>
  <si>
    <t>USB Hub</t>
  </si>
  <si>
    <t>2024-07-20</t>
  </si>
  <si>
    <t>2023-12-15</t>
  </si>
  <si>
    <t>2023-09-27</t>
  </si>
  <si>
    <t>2023-11-02</t>
  </si>
  <si>
    <t>2023-06-15</t>
  </si>
  <si>
    <t>2023-01-20</t>
  </si>
  <si>
    <t>PineCo</t>
  </si>
  <si>
    <t>2024-08-03</t>
  </si>
  <si>
    <t>2024-06-29</t>
  </si>
  <si>
    <t>2024-06-24</t>
  </si>
  <si>
    <t>2024-12-07</t>
  </si>
  <si>
    <t>2024-06-13</t>
  </si>
  <si>
    <t>2023-01-22</t>
  </si>
  <si>
    <t>2023-03-14</t>
  </si>
  <si>
    <t>2023-05-16</t>
  </si>
  <si>
    <t>2024-02-21</t>
  </si>
  <si>
    <t>2024-02-25</t>
  </si>
  <si>
    <t>2023-12-14</t>
  </si>
  <si>
    <t>2023-05-24</t>
  </si>
  <si>
    <t>2023-03-19</t>
  </si>
  <si>
    <t>2024-07-07</t>
  </si>
  <si>
    <t>2024-05-07</t>
  </si>
  <si>
    <t>2024-02-04</t>
  </si>
  <si>
    <t>RedRock Ltd</t>
  </si>
  <si>
    <t>2024-07-23</t>
  </si>
  <si>
    <t>2023-03-01</t>
  </si>
  <si>
    <t>2024-08-21</t>
  </si>
  <si>
    <t>2024-06-04</t>
  </si>
  <si>
    <t>2023-08-29</t>
  </si>
  <si>
    <t>2023-02-10</t>
  </si>
  <si>
    <t>2023-11-20</t>
  </si>
  <si>
    <t>2023-05-15</t>
  </si>
  <si>
    <t>2024-09-28</t>
  </si>
  <si>
    <t>2023-09-29</t>
  </si>
  <si>
    <t>2023-06-11</t>
  </si>
  <si>
    <t>2024-10-31</t>
  </si>
  <si>
    <t>2023-04-17</t>
  </si>
  <si>
    <t>2023-06-09</t>
  </si>
  <si>
    <t>2023-07-28</t>
  </si>
  <si>
    <t>2023-02-22</t>
  </si>
  <si>
    <t>2023-05-14</t>
  </si>
  <si>
    <t>2024-01-14</t>
  </si>
  <si>
    <t>2023-11-12</t>
  </si>
  <si>
    <t>2024-11-13</t>
  </si>
  <si>
    <t>2023-06-08</t>
  </si>
  <si>
    <t>2023-12-07</t>
  </si>
  <si>
    <t>2023-04-21</t>
  </si>
  <si>
    <t>2024-04-16</t>
  </si>
  <si>
    <t>2023-07-17</t>
  </si>
  <si>
    <t>2023-10-13</t>
  </si>
  <si>
    <t>2023-01-29</t>
  </si>
  <si>
    <t>2023-11-18</t>
  </si>
  <si>
    <t>2024-08-13</t>
  </si>
  <si>
    <t>2024-07-05</t>
  </si>
  <si>
    <t>2023-12-05</t>
  </si>
  <si>
    <t>2023-07-16</t>
  </si>
  <si>
    <t>2024-02-20</t>
  </si>
  <si>
    <t>2024-08-16</t>
  </si>
  <si>
    <t>2023-08-07</t>
  </si>
  <si>
    <t>2024-11-10</t>
  </si>
  <si>
    <t>2023-08-19</t>
  </si>
  <si>
    <t>2024-05-01</t>
  </si>
  <si>
    <t>2024-08-12</t>
  </si>
  <si>
    <t>2024-11-02</t>
  </si>
  <si>
    <t>2024-12-13</t>
  </si>
  <si>
    <t>2023-05-05</t>
  </si>
  <si>
    <t>2024-09-01</t>
  </si>
  <si>
    <t>2024-07-15</t>
  </si>
  <si>
    <t>2023-09-11</t>
  </si>
  <si>
    <t>2023-03-21</t>
  </si>
  <si>
    <t>2023-06-06</t>
  </si>
  <si>
    <t>2024-04-22</t>
  </si>
  <si>
    <t>2023-12-27</t>
  </si>
  <si>
    <t>2024-07-13</t>
  </si>
  <si>
    <t>2024-05-12</t>
  </si>
  <si>
    <t>2024-04-23</t>
  </si>
  <si>
    <t>2024-08-29</t>
  </si>
  <si>
    <t>2024-04-17</t>
  </si>
  <si>
    <t>2024-04-10</t>
  </si>
  <si>
    <t>2024-03-07</t>
  </si>
  <si>
    <t>2023-02-23</t>
  </si>
  <si>
    <t>2024-04-29</t>
  </si>
  <si>
    <t>2024-01-13</t>
  </si>
  <si>
    <t>2024-10-04</t>
  </si>
  <si>
    <t>2024-08-02</t>
  </si>
  <si>
    <t>2023-03-12</t>
  </si>
  <si>
    <t>2023-04-19</t>
  </si>
  <si>
    <t>2024-06-18</t>
  </si>
  <si>
    <t>2024-04-06</t>
  </si>
  <si>
    <t>2023-12-30</t>
  </si>
  <si>
    <t>2023-10-10</t>
  </si>
  <si>
    <t>2024-05-17</t>
  </si>
  <si>
    <t>2024-12-09</t>
  </si>
  <si>
    <t>2024-06-27</t>
  </si>
  <si>
    <t>2024-04-09</t>
  </si>
  <si>
    <t>2024-05-10</t>
  </si>
  <si>
    <t>2023-04-13</t>
  </si>
  <si>
    <t>2023-01-15</t>
  </si>
  <si>
    <t>2024-08-10</t>
  </si>
  <si>
    <t>2023-03-17</t>
  </si>
  <si>
    <t>2023-11-08</t>
  </si>
  <si>
    <t>2024-09-12</t>
  </si>
  <si>
    <t>2024-03-29</t>
  </si>
  <si>
    <t>2023-03-03</t>
  </si>
  <si>
    <t>2023-03-25</t>
  </si>
  <si>
    <t>2023-01-03</t>
  </si>
  <si>
    <t>2023-08-26</t>
  </si>
  <si>
    <t>2023-09-28</t>
  </si>
  <si>
    <t>2024-10-25</t>
  </si>
  <si>
    <t>2023-11-11</t>
  </si>
  <si>
    <t>2024-12-06</t>
  </si>
  <si>
    <t>2024-03-24</t>
  </si>
  <si>
    <t>2024-09-10</t>
  </si>
  <si>
    <t>2023-06-29</t>
  </si>
  <si>
    <t>2024-08-22</t>
  </si>
  <si>
    <t>2023-12-08</t>
  </si>
  <si>
    <t>2024-05-22</t>
  </si>
  <si>
    <t>2023-11-19</t>
  </si>
  <si>
    <t>2023-01-02</t>
  </si>
  <si>
    <t>2024-07-16</t>
  </si>
  <si>
    <t>2024-10-07</t>
  </si>
  <si>
    <t>2024-07-19</t>
  </si>
  <si>
    <t>2023-05-01</t>
  </si>
  <si>
    <t>2024-03-01</t>
  </si>
  <si>
    <t>2024-01-28</t>
  </si>
  <si>
    <t>2023-10-17</t>
  </si>
  <si>
    <t>2024-04-02</t>
  </si>
  <si>
    <t>2024-07-10</t>
  </si>
  <si>
    <t>2023-09-02</t>
  </si>
  <si>
    <t>2023-05-10</t>
  </si>
  <si>
    <t>2024-03-26</t>
  </si>
  <si>
    <t>2024-02-24</t>
  </si>
  <si>
    <t>2024-12-10</t>
  </si>
  <si>
    <t>2023-11-21</t>
  </si>
  <si>
    <t>2024-10-08</t>
  </si>
  <si>
    <t>2024-10-10</t>
  </si>
  <si>
    <t>2023-02-17</t>
  </si>
  <si>
    <t>2023-05-30</t>
  </si>
  <si>
    <t>2023-07-04</t>
  </si>
  <si>
    <t>2024-09-26</t>
  </si>
  <si>
    <t>2024-10-15</t>
  </si>
  <si>
    <t>2024-04-21</t>
  </si>
  <si>
    <t>2023-12-20</t>
  </si>
  <si>
    <t>2023-11-06</t>
  </si>
  <si>
    <t>2024-08-08</t>
  </si>
  <si>
    <t>2024-11-05</t>
  </si>
  <si>
    <t>2023-02-20</t>
  </si>
  <si>
    <t>2024-11-06</t>
  </si>
  <si>
    <t>2023-02-04</t>
  </si>
  <si>
    <t>2023-12-01</t>
  </si>
  <si>
    <t>2024-01-10</t>
  </si>
  <si>
    <t>2024-05-08</t>
  </si>
  <si>
    <t>2023-05-25</t>
  </si>
  <si>
    <t>2024-02-09</t>
  </si>
  <si>
    <t>2024-11-19</t>
  </si>
  <si>
    <t>2023-08-28</t>
  </si>
  <si>
    <t>2024-09-16</t>
  </si>
  <si>
    <t>2023-04-30</t>
  </si>
  <si>
    <t>2023-04-29</t>
  </si>
  <si>
    <t>2024-01-15</t>
  </si>
  <si>
    <t>2024-11-01</t>
  </si>
  <si>
    <t>2023-10-14</t>
  </si>
  <si>
    <t>Globaltech</t>
  </si>
  <si>
    <t>External Ssd</t>
  </si>
  <si>
    <t>Novabuy</t>
  </si>
  <si>
    <t>Oceanbase</t>
  </si>
  <si>
    <t>Skyretail</t>
  </si>
  <si>
    <t>Bluestar</t>
  </si>
  <si>
    <t>Brightmart</t>
  </si>
  <si>
    <t>Greenleaf Inc</t>
  </si>
  <si>
    <t>Usb Hub</t>
  </si>
  <si>
    <t>Pineco</t>
  </si>
  <si>
    <t>Redrock Ltd</t>
  </si>
  <si>
    <t>Row Labels</t>
  </si>
  <si>
    <t>Grand Total</t>
  </si>
  <si>
    <t>Total Sales</t>
  </si>
  <si>
    <t>Order Date (Year)</t>
  </si>
  <si>
    <t>Order Date (Quarter)</t>
  </si>
  <si>
    <t>Order Date (Month Index)</t>
  </si>
  <si>
    <t>Order Date (Month)</t>
  </si>
  <si>
    <t>2024</t>
  </si>
  <si>
    <t>Qtr4</t>
  </si>
  <si>
    <t>Oct</t>
  </si>
  <si>
    <t>2023</t>
  </si>
  <si>
    <t>Qtr2</t>
  </si>
  <si>
    <t>Apr</t>
  </si>
  <si>
    <t>Qtr3</t>
  </si>
  <si>
    <t>Jul</t>
  </si>
  <si>
    <t>Qtr1</t>
  </si>
  <si>
    <t>Jan</t>
  </si>
  <si>
    <t>Dec</t>
  </si>
  <si>
    <t>Jun</t>
  </si>
  <si>
    <t>Nov</t>
  </si>
  <si>
    <t>Mar</t>
  </si>
  <si>
    <t>Feb</t>
  </si>
  <si>
    <t>Sep</t>
  </si>
  <si>
    <t>Aug</t>
  </si>
  <si>
    <t>May</t>
  </si>
  <si>
    <t>Total Quantity Sold</t>
  </si>
  <si>
    <t>Average Sales Per Order</t>
  </si>
  <si>
    <t>Category of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</si>
</sst>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rgb="FFFFFFFF"/>
      <name val="Arial"/>
      <family val="2"/>
    </font>
    <font>
      <sz val="10"/>
      <name val="Arial"/>
      <family val="2"/>
    </font>
    <font>
      <sz val="8"/>
      <name val="Calibri"/>
      <family val="2"/>
      <scheme val="minor"/>
    </font>
  </fonts>
  <fills count="6">
    <fill>
      <patternFill patternType="none"/>
    </fill>
    <fill>
      <patternFill patternType="gray125"/>
    </fill>
    <fill>
      <patternFill patternType="solid">
        <fgColor rgb="FF2F5496"/>
      </patternFill>
    </fill>
    <fill>
      <patternFill patternType="solid">
        <fgColor rgb="FFEEF2FF"/>
      </patternFill>
    </fill>
    <fill>
      <patternFill patternType="solid">
        <fgColor rgb="FF00B050"/>
        <bgColor indexed="64"/>
      </patternFill>
    </fill>
    <fill>
      <patternFill patternType="solid">
        <fgColor theme="2"/>
        <bgColor indexed="64"/>
      </patternFill>
    </fill>
  </fills>
  <borders count="9">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s>
  <cellStyleXfs count="1">
    <xf numFmtId="0" fontId="0" fillId="0" borderId="0"/>
  </cellStyleXfs>
  <cellXfs count="22">
    <xf numFmtId="0" fontId="0" fillId="0" borderId="0" xfId="0"/>
    <xf numFmtId="0" fontId="2" fillId="3" borderId="1" xfId="0" applyFont="1" applyFill="1" applyBorder="1" applyAlignment="1">
      <alignment horizontal="center"/>
    </xf>
    <xf numFmtId="0" fontId="2" fillId="3" borderId="1" xfId="0" applyFont="1" applyFill="1" applyBorder="1"/>
    <xf numFmtId="0" fontId="2" fillId="0" borderId="1" xfId="0" applyFont="1" applyBorder="1" applyAlignment="1">
      <alignment horizontal="center"/>
    </xf>
    <xf numFmtId="0" fontId="2" fillId="0" borderId="1" xfId="0" applyFont="1" applyBorder="1"/>
    <xf numFmtId="0" fontId="2" fillId="3" borderId="2" xfId="0" applyFont="1" applyFill="1" applyBorder="1" applyAlignment="1">
      <alignment horizontal="center"/>
    </xf>
    <xf numFmtId="0" fontId="2" fillId="0" borderId="2" xfId="0" applyFont="1" applyBorder="1" applyAlignment="1">
      <alignment horizont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applyAlignment="1">
      <alignment horizontal="center"/>
    </xf>
    <xf numFmtId="0" fontId="2" fillId="0" borderId="8" xfId="0" applyFont="1" applyBorder="1"/>
    <xf numFmtId="0" fontId="2" fillId="0" borderId="8" xfId="0" applyFont="1" applyBorder="1" applyAlignment="1">
      <alignment horizontal="center"/>
    </xf>
    <xf numFmtId="4" fontId="2" fillId="3" borderId="1" xfId="0" applyNumberFormat="1" applyFont="1" applyFill="1" applyBorder="1"/>
    <xf numFmtId="4" fontId="2" fillId="3" borderId="3" xfId="0" applyNumberFormat="1" applyFont="1" applyFill="1" applyBorder="1"/>
    <xf numFmtId="14"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0" borderId="0" xfId="0" applyNumberFormat="1"/>
    <xf numFmtId="0" fontId="0" fillId="5" borderId="0" xfId="0" applyFill="1"/>
    <xf numFmtId="0" fontId="0" fillId="0" borderId="0" xfId="0" applyAlignment="1">
      <alignment vertical="center" wrapText="1"/>
    </xf>
  </cellXfs>
  <cellStyles count="1">
    <cellStyle name="Normal" xfId="0" builtinId="0"/>
  </cellStyles>
  <dxfs count="16">
    <dxf>
      <alignment horizontal="general" vertical="center" textRotation="0" wrapText="1" indent="0" justifyLastLine="0" shrinkToFit="0" readingOrder="0"/>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family val="2"/>
        <scheme val="none"/>
      </font>
      <numFmt numFmtId="3" formatCode="#,##0"/>
      <border diagonalUp="0" diagonalDown="0">
        <left style="thin">
          <color rgb="FFCCCCCC"/>
        </left>
        <right/>
        <top style="thin">
          <color rgb="FFCCCCCC"/>
        </top>
        <bottom style="thin">
          <color rgb="FFCCCCCC"/>
        </bottom>
      </border>
    </dxf>
    <dxf>
      <font>
        <b val="0"/>
        <i val="0"/>
        <strike val="0"/>
        <condense val="0"/>
        <extend val="0"/>
        <outline val="0"/>
        <shadow val="0"/>
        <u val="none"/>
        <vertAlign val="baseline"/>
        <sz val="10"/>
        <color auto="1"/>
        <name val="Arial"/>
        <family val="2"/>
        <scheme val="none"/>
      </font>
      <numFmt numFmtId="3" formatCode="#,##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family val="2"/>
        <scheme val="none"/>
      </font>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1"/>
        <color rgb="FFFFFFFF"/>
        <name val="Arial"/>
        <family val="2"/>
        <scheme val="none"/>
      </font>
      <fill>
        <patternFill patternType="solid">
          <fgColor indexed="64"/>
          <bgColor rgb="FF2F5496"/>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s>
  <tableStyles count="1" defaultTableStyle="TableStyleMedium2" defaultPivotStyle="PivotStyleLight16">
    <tableStyle name="Invisible" pivot="0" table="0" count="0" xr9:uid="{E63C87B4-269E-43CC-8477-21FE15428049}"/>
  </tableStyles>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[module-6-business-dashboard.xlsx]Region wise total sales!PivotTable2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layout>
        <c:manualLayout>
          <c:xMode val="edge"/>
          <c:yMode val="edge"/>
          <c:x val="0.27210555267417919"/>
          <c:y val="0.154599865421619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s>
    <c:view3D>
      <c:rotX val="15"/>
      <c:rotY val="0"/>
      <c:rAngAx val="1"/>
    </c:view3D>
    <c:floor>
      <c:thickness val="0"/>
      <c:spPr>
        <a:noFill/>
        <a:ln>
          <a:noFill/>
        </a:ln>
        <a:effectLst/>
        <a:sp3d/>
      </c:spPr>
    </c:floor>
    <c:sideWall>
      <c:thickness val="0"/>
      <c:spPr>
        <a:gradFill flip="none" rotWithShape="1">
          <a:gsLst>
            <a:gs pos="0">
              <a:schemeClr val="accent2">
                <a:alpha val="72000"/>
                <a:lumMod val="68000"/>
              </a:schemeClr>
            </a:gs>
            <a:gs pos="48000">
              <a:schemeClr val="accent2">
                <a:lumMod val="97000"/>
                <a:lumOff val="3000"/>
              </a:schemeClr>
            </a:gs>
            <a:gs pos="100000">
              <a:schemeClr val="accent2">
                <a:lumMod val="60000"/>
                <a:lumOff val="40000"/>
              </a:schemeClr>
            </a:gs>
          </a:gsLst>
          <a:path path="rect">
            <a:fillToRect t="100000" r="100000"/>
          </a:path>
          <a:tileRect l="-100000" b="-100000"/>
        </a:gradFill>
        <a:ln>
          <a:noFill/>
        </a:ln>
        <a:effectLst>
          <a:glow rad="127000">
            <a:srgbClr val="0070C0"/>
          </a:glow>
          <a:outerShdw blurRad="50800" dist="38100" dir="16200000" rotWithShape="0">
            <a:prstClr val="black">
              <a:alpha val="40000"/>
            </a:prstClr>
          </a:outerShdw>
          <a:softEdge rad="12700"/>
        </a:effectLst>
        <a:scene3d>
          <a:camera prst="orthographicFront"/>
          <a:lightRig rig="threePt" dir="t"/>
        </a:scene3d>
        <a:sp3d>
          <a:bevelB prst="angle"/>
        </a:sp3d>
      </c:spPr>
    </c:sideWall>
    <c:backWall>
      <c:thickness val="0"/>
      <c:spPr>
        <a:gradFill flip="none" rotWithShape="1">
          <a:gsLst>
            <a:gs pos="0">
              <a:schemeClr val="accent2">
                <a:alpha val="72000"/>
                <a:lumMod val="68000"/>
              </a:schemeClr>
            </a:gs>
            <a:gs pos="48000">
              <a:schemeClr val="accent2">
                <a:lumMod val="97000"/>
                <a:lumOff val="3000"/>
              </a:schemeClr>
            </a:gs>
            <a:gs pos="100000">
              <a:schemeClr val="accent2">
                <a:lumMod val="60000"/>
                <a:lumOff val="40000"/>
              </a:schemeClr>
            </a:gs>
          </a:gsLst>
          <a:path path="rect">
            <a:fillToRect t="100000" r="100000"/>
          </a:path>
          <a:tileRect l="-100000" b="-100000"/>
        </a:gradFill>
        <a:ln>
          <a:noFill/>
        </a:ln>
        <a:effectLst>
          <a:glow rad="127000">
            <a:srgbClr val="0070C0"/>
          </a:glow>
          <a:outerShdw blurRad="50800" dist="38100" dir="16200000" rotWithShape="0">
            <a:prstClr val="black">
              <a:alpha val="40000"/>
            </a:prstClr>
          </a:outerShdw>
          <a:softEdge rad="12700"/>
        </a:effectLst>
        <a:scene3d>
          <a:camera prst="orthographicFront"/>
          <a:lightRig rig="threePt" dir="t"/>
        </a:scene3d>
        <a:sp3d>
          <a:bevelB prst="angle"/>
        </a:sp3d>
      </c:spPr>
    </c:backWall>
    <c:plotArea>
      <c:layout>
        <c:manualLayout>
          <c:layoutTarget val="inner"/>
          <c:xMode val="edge"/>
          <c:yMode val="edge"/>
          <c:x val="3.2231073484675521E-2"/>
          <c:y val="0.3359470382745639"/>
          <c:w val="0.69660678642714569"/>
          <c:h val="0.59298634147493179"/>
        </c:manualLayout>
      </c:layout>
      <c:pie3DChart>
        <c:varyColors val="1"/>
        <c:ser>
          <c:idx val="0"/>
          <c:order val="0"/>
          <c:tx>
            <c:strRef>
              <c:f>'Region wise total sales'!$C$3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10BA-4F99-925B-D836A9CA2A58}"/>
              </c:ext>
            </c:extLst>
          </c:dPt>
          <c:dPt>
            <c:idx val="1"/>
            <c:bubble3D val="0"/>
            <c:spPr>
              <a:solidFill>
                <a:schemeClr val="accent2"/>
              </a:solidFill>
              <a:ln>
                <a:noFill/>
              </a:ln>
              <a:effectLst/>
              <a:sp3d/>
            </c:spPr>
            <c:extLst>
              <c:ext xmlns:c16="http://schemas.microsoft.com/office/drawing/2014/chart" uri="{C3380CC4-5D6E-409C-BE32-E72D297353CC}">
                <c16:uniqueId val="{00000003-10BA-4F99-925B-D836A9CA2A58}"/>
              </c:ext>
            </c:extLst>
          </c:dPt>
          <c:dPt>
            <c:idx val="2"/>
            <c:bubble3D val="0"/>
            <c:spPr>
              <a:solidFill>
                <a:schemeClr val="accent3"/>
              </a:solidFill>
              <a:ln>
                <a:noFill/>
              </a:ln>
              <a:effectLst/>
              <a:sp3d/>
            </c:spPr>
            <c:extLst>
              <c:ext xmlns:c16="http://schemas.microsoft.com/office/drawing/2014/chart" uri="{C3380CC4-5D6E-409C-BE32-E72D297353CC}">
                <c16:uniqueId val="{00000005-10BA-4F99-925B-D836A9CA2A58}"/>
              </c:ext>
            </c:extLst>
          </c:dPt>
          <c:dPt>
            <c:idx val="3"/>
            <c:bubble3D val="0"/>
            <c:spPr>
              <a:solidFill>
                <a:schemeClr val="accent4"/>
              </a:solidFill>
              <a:ln>
                <a:noFill/>
              </a:ln>
              <a:effectLst/>
              <a:sp3d/>
            </c:spPr>
            <c:extLst>
              <c:ext xmlns:c16="http://schemas.microsoft.com/office/drawing/2014/chart" uri="{C3380CC4-5D6E-409C-BE32-E72D297353CC}">
                <c16:uniqueId val="{00000007-10BA-4F99-925B-D836A9CA2A58}"/>
              </c:ext>
            </c:extLst>
          </c:dPt>
          <c:dPt>
            <c:idx val="4"/>
            <c:bubble3D val="0"/>
            <c:spPr>
              <a:solidFill>
                <a:schemeClr val="accent5"/>
              </a:solidFill>
              <a:ln>
                <a:noFill/>
              </a:ln>
              <a:effectLst/>
              <a:sp3d/>
            </c:spPr>
            <c:extLst>
              <c:ext xmlns:c16="http://schemas.microsoft.com/office/drawing/2014/chart" uri="{C3380CC4-5D6E-409C-BE32-E72D297353CC}">
                <c16:uniqueId val="{00000009-10BA-4F99-925B-D836A9CA2A58}"/>
              </c:ext>
            </c:extLst>
          </c:dPt>
          <c:cat>
            <c:strRef>
              <c:f>'Region wise total sales'!$B$4:$B$9</c:f>
              <c:strCache>
                <c:ptCount val="5"/>
                <c:pt idx="0">
                  <c:v>Central</c:v>
                </c:pt>
                <c:pt idx="1">
                  <c:v>East</c:v>
                </c:pt>
                <c:pt idx="2">
                  <c:v>North</c:v>
                </c:pt>
                <c:pt idx="3">
                  <c:v>South</c:v>
                </c:pt>
                <c:pt idx="4">
                  <c:v>West</c:v>
                </c:pt>
              </c:strCache>
            </c:strRef>
          </c:cat>
          <c:val>
            <c:numRef>
              <c:f>'Region wise total sales'!$C$4:$C$9</c:f>
              <c:numCache>
                <c:formatCode>General</c:formatCode>
                <c:ptCount val="5"/>
                <c:pt idx="0">
                  <c:v>131662.04</c:v>
                </c:pt>
                <c:pt idx="1">
                  <c:v>76604.52</c:v>
                </c:pt>
                <c:pt idx="2">
                  <c:v>82036.44</c:v>
                </c:pt>
                <c:pt idx="3">
                  <c:v>100712.06</c:v>
                </c:pt>
                <c:pt idx="4">
                  <c:v>80661.960000000006</c:v>
                </c:pt>
              </c:numCache>
            </c:numRef>
          </c:val>
          <c:extLst>
            <c:ext xmlns:c16="http://schemas.microsoft.com/office/drawing/2014/chart" uri="{C3380CC4-5D6E-409C-BE32-E72D297353CC}">
              <c16:uniqueId val="{0000000A-10BA-4F99-925B-D836A9CA2A5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[module-6-business-dashboard.xlsx]Product wise total 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a:sp3d/>
        </c:spPr>
      </c:pivotFmt>
      <c:pivotFmt>
        <c:idx val="24"/>
        <c:spPr>
          <a:solidFill>
            <a:schemeClr val="accent6">
              <a:lumMod val="75000"/>
            </a:schemeClr>
          </a:solidFill>
          <a:ln>
            <a:noFill/>
          </a:ln>
          <a:effectLst/>
          <a:sp3d/>
        </c:spPr>
      </c:pivotFmt>
      <c:pivotFmt>
        <c:idx val="25"/>
        <c:spPr>
          <a:solidFill>
            <a:schemeClr val="accent6">
              <a:lumMod val="75000"/>
            </a:schemeClr>
          </a:solidFill>
          <a:ln>
            <a:noFill/>
          </a:ln>
          <a:effectLst/>
          <a:sp3d/>
        </c:spPr>
      </c:pivotFmt>
      <c:pivotFmt>
        <c:idx val="26"/>
        <c:spPr>
          <a:solidFill>
            <a:schemeClr val="accent6">
              <a:lumMod val="75000"/>
            </a:schemeClr>
          </a:solidFill>
          <a:ln>
            <a:noFill/>
          </a:ln>
          <a:effectLst/>
          <a:sp3d/>
        </c:spPr>
      </c:pivotFmt>
      <c:pivotFmt>
        <c:idx val="27"/>
        <c:spPr>
          <a:solidFill>
            <a:schemeClr val="accent6">
              <a:lumMod val="75000"/>
            </a:schemeClr>
          </a:solidFill>
          <a:ln>
            <a:noFill/>
          </a:ln>
          <a:effectLst/>
          <a:sp3d/>
        </c:spPr>
      </c:pivotFmt>
      <c:pivotFmt>
        <c:idx val="28"/>
        <c:spPr>
          <a:solidFill>
            <a:schemeClr val="accent6">
              <a:lumMod val="75000"/>
            </a:schemeClr>
          </a:solidFill>
          <a:ln>
            <a:noFill/>
          </a:ln>
          <a:effectLst/>
          <a:sp3d/>
        </c:spPr>
      </c:pivotFmt>
      <c:pivotFmt>
        <c:idx val="29"/>
        <c:spPr>
          <a:solidFill>
            <a:schemeClr val="accent6">
              <a:lumMod val="75000"/>
            </a:schemeClr>
          </a:solidFill>
          <a:ln>
            <a:noFill/>
          </a:ln>
          <a:effectLst/>
          <a:sp3d/>
        </c:spPr>
      </c:pivotFmt>
      <c:pivotFmt>
        <c:idx val="30"/>
        <c:spPr>
          <a:solidFill>
            <a:schemeClr val="accent6">
              <a:lumMod val="75000"/>
            </a:schemeClr>
          </a:solidFill>
          <a:ln>
            <a:noFill/>
          </a:ln>
          <a:effectLst/>
          <a:sp3d/>
        </c:spPr>
      </c:pivotFmt>
      <c:pivotFmt>
        <c:idx val="31"/>
        <c:spPr>
          <a:solidFill>
            <a:schemeClr val="accent6">
              <a:lumMod val="75000"/>
            </a:schemeClr>
          </a:solidFill>
          <a:ln>
            <a:noFill/>
          </a:ln>
          <a:effectLst/>
          <a:sp3d/>
        </c:spPr>
      </c:pivotFmt>
      <c:pivotFmt>
        <c:idx val="32"/>
        <c:spPr>
          <a:solidFill>
            <a:schemeClr val="accent6">
              <a:lumMod val="75000"/>
            </a:schemeClr>
          </a:solidFill>
          <a:ln>
            <a:noFill/>
          </a:ln>
          <a:effectLst/>
          <a:sp3d/>
        </c:spPr>
      </c:pivotFmt>
    </c:pivotFmts>
    <c:view3D>
      <c:rotX val="15"/>
      <c:rotY val="20"/>
      <c:rAngAx val="0"/>
    </c:view3D>
    <c:floor>
      <c:thickness val="0"/>
      <c:spPr>
        <a:noFill/>
        <a:ln>
          <a:noFill/>
        </a:ln>
        <a:effectLst/>
        <a:sp3d/>
      </c:spPr>
    </c:floor>
    <c:sideWall>
      <c:thickness val="0"/>
      <c:spPr>
        <a:solidFill>
          <a:schemeClr val="accent2">
            <a:lumMod val="75000"/>
          </a:schemeClr>
        </a:solidFill>
        <a:ln>
          <a:solidFill>
            <a:schemeClr val="bg1"/>
          </a:solidFill>
        </a:ln>
        <a:effectLst/>
        <a:sp3d>
          <a:contourClr>
            <a:schemeClr val="bg1"/>
          </a:contourClr>
        </a:sp3d>
      </c:spPr>
    </c:sideWall>
    <c:backWall>
      <c:thickness val="0"/>
      <c:spPr>
        <a:solidFill>
          <a:schemeClr val="accent2">
            <a:lumMod val="75000"/>
          </a:schemeClr>
        </a:solidFill>
        <a:ln>
          <a:solidFill>
            <a:schemeClr val="bg1"/>
          </a:solidFill>
        </a:ln>
        <a:effectLst/>
        <a:sp3d>
          <a:contourClr>
            <a:schemeClr val="bg1"/>
          </a:contourClr>
        </a:sp3d>
      </c:spPr>
    </c:backWall>
    <c:plotArea>
      <c:layout/>
      <c:line3DChart>
        <c:grouping val="standard"/>
        <c:varyColors val="0"/>
        <c:ser>
          <c:idx val="0"/>
          <c:order val="0"/>
          <c:tx>
            <c:strRef>
              <c:f>'Product wise total sales'!$C$3</c:f>
              <c:strCache>
                <c:ptCount val="1"/>
                <c:pt idx="0">
                  <c:v>Total</c:v>
                </c:pt>
              </c:strCache>
            </c:strRef>
          </c:tx>
          <c:spPr>
            <a:solidFill>
              <a:schemeClr val="accent6">
                <a:lumMod val="75000"/>
              </a:schemeClr>
            </a:solidFill>
            <a:ln>
              <a:noFill/>
            </a:ln>
            <a:effectLst/>
            <a:sp3d/>
          </c:spPr>
          <c:dPt>
            <c:idx val="0"/>
            <c:bubble3D val="0"/>
            <c:spPr>
              <a:solidFill>
                <a:schemeClr val="accent6">
                  <a:lumMod val="75000"/>
                </a:schemeClr>
              </a:solidFill>
              <a:ln>
                <a:noFill/>
              </a:ln>
              <a:effectLst/>
              <a:sp3d/>
            </c:spPr>
            <c:extLst>
              <c:ext xmlns:c16="http://schemas.microsoft.com/office/drawing/2014/chart" uri="{C3380CC4-5D6E-409C-BE32-E72D297353CC}">
                <c16:uniqueId val="{00000001-ABED-4AE1-9C27-D08775FCBF15}"/>
              </c:ext>
            </c:extLst>
          </c:dPt>
          <c:dPt>
            <c:idx val="1"/>
            <c:bubble3D val="0"/>
            <c:spPr>
              <a:solidFill>
                <a:schemeClr val="accent6">
                  <a:lumMod val="75000"/>
                </a:schemeClr>
              </a:solidFill>
              <a:ln>
                <a:noFill/>
              </a:ln>
              <a:effectLst/>
              <a:sp3d/>
            </c:spPr>
            <c:extLst>
              <c:ext xmlns:c16="http://schemas.microsoft.com/office/drawing/2014/chart" uri="{C3380CC4-5D6E-409C-BE32-E72D297353CC}">
                <c16:uniqueId val="{00000003-ABED-4AE1-9C27-D08775FCBF15}"/>
              </c:ext>
            </c:extLst>
          </c:dPt>
          <c:dPt>
            <c:idx val="2"/>
            <c:bubble3D val="0"/>
            <c:spPr>
              <a:solidFill>
                <a:schemeClr val="accent6">
                  <a:lumMod val="75000"/>
                </a:schemeClr>
              </a:solidFill>
              <a:ln>
                <a:noFill/>
              </a:ln>
              <a:effectLst/>
              <a:sp3d/>
            </c:spPr>
            <c:extLst>
              <c:ext xmlns:c16="http://schemas.microsoft.com/office/drawing/2014/chart" uri="{C3380CC4-5D6E-409C-BE32-E72D297353CC}">
                <c16:uniqueId val="{00000005-ABED-4AE1-9C27-D08775FCBF15}"/>
              </c:ext>
            </c:extLst>
          </c:dPt>
          <c:dPt>
            <c:idx val="3"/>
            <c:bubble3D val="0"/>
            <c:spPr>
              <a:solidFill>
                <a:schemeClr val="accent6">
                  <a:lumMod val="75000"/>
                </a:schemeClr>
              </a:solidFill>
              <a:ln>
                <a:noFill/>
              </a:ln>
              <a:effectLst/>
              <a:sp3d/>
            </c:spPr>
            <c:extLst>
              <c:ext xmlns:c16="http://schemas.microsoft.com/office/drawing/2014/chart" uri="{C3380CC4-5D6E-409C-BE32-E72D297353CC}">
                <c16:uniqueId val="{00000007-ABED-4AE1-9C27-D08775FCBF15}"/>
              </c:ext>
            </c:extLst>
          </c:dPt>
          <c:dPt>
            <c:idx val="4"/>
            <c:bubble3D val="0"/>
            <c:spPr>
              <a:solidFill>
                <a:schemeClr val="accent6">
                  <a:lumMod val="75000"/>
                </a:schemeClr>
              </a:solidFill>
              <a:ln>
                <a:noFill/>
              </a:ln>
              <a:effectLst/>
              <a:sp3d/>
            </c:spPr>
            <c:extLst>
              <c:ext xmlns:c16="http://schemas.microsoft.com/office/drawing/2014/chart" uri="{C3380CC4-5D6E-409C-BE32-E72D297353CC}">
                <c16:uniqueId val="{00000009-ABED-4AE1-9C27-D08775FCBF15}"/>
              </c:ext>
            </c:extLst>
          </c:dPt>
          <c:dPt>
            <c:idx val="5"/>
            <c:bubble3D val="0"/>
            <c:spPr>
              <a:solidFill>
                <a:schemeClr val="accent6">
                  <a:lumMod val="75000"/>
                </a:schemeClr>
              </a:solidFill>
              <a:ln>
                <a:noFill/>
              </a:ln>
              <a:effectLst/>
              <a:sp3d/>
            </c:spPr>
            <c:extLst>
              <c:ext xmlns:c16="http://schemas.microsoft.com/office/drawing/2014/chart" uri="{C3380CC4-5D6E-409C-BE32-E72D297353CC}">
                <c16:uniqueId val="{0000000B-ABED-4AE1-9C27-D08775FCBF15}"/>
              </c:ext>
            </c:extLst>
          </c:dPt>
          <c:dPt>
            <c:idx val="6"/>
            <c:bubble3D val="0"/>
            <c:spPr>
              <a:solidFill>
                <a:schemeClr val="accent6">
                  <a:lumMod val="75000"/>
                </a:schemeClr>
              </a:solidFill>
              <a:ln>
                <a:noFill/>
              </a:ln>
              <a:effectLst/>
              <a:sp3d/>
            </c:spPr>
            <c:extLst>
              <c:ext xmlns:c16="http://schemas.microsoft.com/office/drawing/2014/chart" uri="{C3380CC4-5D6E-409C-BE32-E72D297353CC}">
                <c16:uniqueId val="{0000000D-ABED-4AE1-9C27-D08775FCBF15}"/>
              </c:ext>
            </c:extLst>
          </c:dPt>
          <c:dPt>
            <c:idx val="7"/>
            <c:bubble3D val="0"/>
            <c:spPr>
              <a:solidFill>
                <a:schemeClr val="accent6">
                  <a:lumMod val="75000"/>
                </a:schemeClr>
              </a:solidFill>
              <a:ln>
                <a:noFill/>
              </a:ln>
              <a:effectLst/>
              <a:sp3d/>
            </c:spPr>
            <c:extLst>
              <c:ext xmlns:c16="http://schemas.microsoft.com/office/drawing/2014/chart" uri="{C3380CC4-5D6E-409C-BE32-E72D297353CC}">
                <c16:uniqueId val="{0000000F-ABED-4AE1-9C27-D08775FCBF15}"/>
              </c:ext>
            </c:extLst>
          </c:dPt>
          <c:dPt>
            <c:idx val="8"/>
            <c:bubble3D val="0"/>
            <c:spPr>
              <a:solidFill>
                <a:schemeClr val="accent6">
                  <a:lumMod val="75000"/>
                </a:schemeClr>
              </a:solidFill>
              <a:ln>
                <a:noFill/>
              </a:ln>
              <a:effectLst/>
              <a:sp3d/>
            </c:spPr>
            <c:extLst>
              <c:ext xmlns:c16="http://schemas.microsoft.com/office/drawing/2014/chart" uri="{C3380CC4-5D6E-409C-BE32-E72D297353CC}">
                <c16:uniqueId val="{00000011-ABED-4AE1-9C27-D08775FCBF15}"/>
              </c:ext>
            </c:extLst>
          </c:dPt>
          <c:dPt>
            <c:idx val="9"/>
            <c:bubble3D val="0"/>
            <c:spPr>
              <a:solidFill>
                <a:schemeClr val="accent6">
                  <a:lumMod val="75000"/>
                </a:schemeClr>
              </a:solidFill>
              <a:ln>
                <a:noFill/>
              </a:ln>
              <a:effectLst/>
              <a:sp3d/>
            </c:spPr>
            <c:extLst>
              <c:ext xmlns:c16="http://schemas.microsoft.com/office/drawing/2014/chart" uri="{C3380CC4-5D6E-409C-BE32-E72D297353CC}">
                <c16:uniqueId val="{00000013-ABED-4AE1-9C27-D08775FCBF15}"/>
              </c:ext>
            </c:extLst>
          </c:dPt>
          <c:cat>
            <c:strRef>
              <c:f>'Product wise total sales'!$B$4:$B$14</c:f>
              <c:strCache>
                <c:ptCount val="10"/>
                <c:pt idx="0">
                  <c:v>Desk Chair</c:v>
                </c:pt>
                <c:pt idx="1">
                  <c:v>External Ssd</c:v>
                </c:pt>
                <c:pt idx="2">
                  <c:v>Headset</c:v>
                </c:pt>
                <c:pt idx="3">
                  <c:v>Keyboard</c:v>
                </c:pt>
                <c:pt idx="4">
                  <c:v>Laptop</c:v>
                </c:pt>
                <c:pt idx="5">
                  <c:v>Monitor</c:v>
                </c:pt>
                <c:pt idx="6">
                  <c:v>Mouse</c:v>
                </c:pt>
                <c:pt idx="7">
                  <c:v>Printer</c:v>
                </c:pt>
                <c:pt idx="8">
                  <c:v>Usb Hub</c:v>
                </c:pt>
                <c:pt idx="9">
                  <c:v>Webcam</c:v>
                </c:pt>
              </c:strCache>
            </c:strRef>
          </c:cat>
          <c:val>
            <c:numRef>
              <c:f>'Product wise total sales'!$C$4:$C$14</c:f>
              <c:numCache>
                <c:formatCode>General</c:formatCode>
                <c:ptCount val="10"/>
                <c:pt idx="0">
                  <c:v>57166.78</c:v>
                </c:pt>
                <c:pt idx="1">
                  <c:v>23890.1</c:v>
                </c:pt>
                <c:pt idx="2">
                  <c:v>41437.83</c:v>
                </c:pt>
                <c:pt idx="3">
                  <c:v>16380.1</c:v>
                </c:pt>
                <c:pt idx="4">
                  <c:v>182275.01</c:v>
                </c:pt>
                <c:pt idx="5">
                  <c:v>84679.75</c:v>
                </c:pt>
                <c:pt idx="6">
                  <c:v>9050.19</c:v>
                </c:pt>
                <c:pt idx="7">
                  <c:v>35326.76</c:v>
                </c:pt>
                <c:pt idx="8">
                  <c:v>12151.48</c:v>
                </c:pt>
                <c:pt idx="9">
                  <c:v>9319.02</c:v>
                </c:pt>
              </c:numCache>
            </c:numRef>
          </c:val>
          <c:smooth val="0"/>
          <c:extLst>
            <c:ext xmlns:c16="http://schemas.microsoft.com/office/drawing/2014/chart" uri="{C3380CC4-5D6E-409C-BE32-E72D297353CC}">
              <c16:uniqueId val="{00000014-ABED-4AE1-9C27-D08775FCBF15}"/>
            </c:ext>
          </c:extLst>
        </c:ser>
        <c:dLbls>
          <c:showLegendKey val="0"/>
          <c:showVal val="0"/>
          <c:showCatName val="0"/>
          <c:showSerName val="0"/>
          <c:showPercent val="0"/>
          <c:showBubbleSize val="0"/>
        </c:dLbls>
        <c:axId val="462289888"/>
        <c:axId val="462290368"/>
        <c:axId val="2065422191"/>
      </c:line3DChart>
      <c:catAx>
        <c:axId val="462289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290368"/>
        <c:crosses val="autoZero"/>
        <c:auto val="1"/>
        <c:lblAlgn val="ctr"/>
        <c:lblOffset val="100"/>
        <c:noMultiLvlLbl val="0"/>
      </c:catAx>
      <c:valAx>
        <c:axId val="462290368"/>
        <c:scaling>
          <c:orientation val="minMax"/>
        </c:scaling>
        <c:delete val="0"/>
        <c:axPos val="l"/>
        <c:majorGridlines>
          <c:spPr>
            <a:ln w="9525" cap="flat" cmpd="sng" algn="ctr">
              <a:solidFill>
                <a:schemeClr val="bg1"/>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289888"/>
        <c:crosses val="autoZero"/>
        <c:crossBetween val="between"/>
      </c:valAx>
      <c:serAx>
        <c:axId val="20654221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290368"/>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b="100000"/>
      </a:path>
      <a:tileRect t="-100000" r="-100000"/>
    </a:gradFill>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[module-6-business-dashboard.xlsx]Month wise total sales!PivotTable2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spPr>
        <a:noFill/>
        <a:ln>
          <a:noFill/>
        </a:ln>
        <a:effectLst/>
        <a:sp3d/>
      </c:spPr>
    </c:floor>
    <c:sideWall>
      <c:thickness val="0"/>
      <c:spPr>
        <a:solidFill>
          <a:schemeClr val="tx1">
            <a:lumMod val="85000"/>
            <a:lumOff val="15000"/>
          </a:schemeClr>
        </a:solidFill>
        <a:ln>
          <a:solidFill>
            <a:srgbClr val="00B050"/>
          </a:solidFill>
        </a:ln>
        <a:effectLst>
          <a:glow rad="127000">
            <a:srgbClr val="00B050"/>
          </a:glow>
        </a:effectLst>
        <a:scene3d>
          <a:camera prst="orthographicFront"/>
          <a:lightRig rig="threePt" dir="t"/>
        </a:scene3d>
        <a:sp3d>
          <a:contourClr>
            <a:srgbClr val="00B050"/>
          </a:contourClr>
        </a:sp3d>
      </c:spPr>
    </c:sideWall>
    <c:backWall>
      <c:thickness val="0"/>
      <c:spPr>
        <a:solidFill>
          <a:schemeClr val="tx1">
            <a:lumMod val="85000"/>
            <a:lumOff val="15000"/>
          </a:schemeClr>
        </a:solidFill>
        <a:ln>
          <a:solidFill>
            <a:srgbClr val="00B050"/>
          </a:solidFill>
        </a:ln>
        <a:effectLst>
          <a:glow rad="127000">
            <a:srgbClr val="00B050"/>
          </a:glow>
        </a:effectLst>
        <a:scene3d>
          <a:camera prst="orthographicFront"/>
          <a:lightRig rig="threePt" dir="t"/>
        </a:scene3d>
        <a:sp3d>
          <a:contourClr>
            <a:srgbClr val="00B050"/>
          </a:contourClr>
        </a:sp3d>
      </c:spPr>
    </c:backWall>
    <c:plotArea>
      <c:layout>
        <c:manualLayout>
          <c:layoutTarget val="inner"/>
          <c:xMode val="edge"/>
          <c:yMode val="edge"/>
          <c:x val="0.14942086694800349"/>
          <c:y val="0.30849149576441554"/>
          <c:w val="0.58436664808027716"/>
          <c:h val="0.45926036824571459"/>
        </c:manualLayout>
      </c:layout>
      <c:area3DChart>
        <c:grouping val="standard"/>
        <c:varyColors val="0"/>
        <c:ser>
          <c:idx val="0"/>
          <c:order val="0"/>
          <c:tx>
            <c:strRef>
              <c:f>'Month wise total sales'!$C$3</c:f>
              <c:strCache>
                <c:ptCount val="1"/>
                <c:pt idx="0">
                  <c:v>Total</c:v>
                </c:pt>
              </c:strCache>
            </c:strRef>
          </c:tx>
          <c:spPr>
            <a:solidFill>
              <a:srgbClr val="92D050"/>
            </a:solidFill>
            <a:ln>
              <a:solidFill>
                <a:schemeClr val="tx1">
                  <a:lumMod val="95000"/>
                  <a:lumOff val="5000"/>
                </a:schemeClr>
              </a:solidFill>
            </a:ln>
            <a:effectLst/>
            <a:sp3d>
              <a:contourClr>
                <a:schemeClr val="tx1">
                  <a:lumMod val="95000"/>
                  <a:lumOff val="5000"/>
                </a:schemeClr>
              </a:contourClr>
            </a:sp3d>
          </c:spPr>
          <c:cat>
            <c:strRef>
              <c:f>'Month wise total sales'!$B$4:$B$16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total sales'!$C$4:$C$16</c:f>
              <c:numCache>
                <c:formatCode>General</c:formatCode>
                <c:ptCount val="12"/>
                <c:pt idx="0">
                  <c:v>15047.3</c:v>
                </c:pt>
                <c:pt idx="1">
                  <c:v>24025.82</c:v>
                </c:pt>
                <c:pt idx="2">
                  <c:v>50674.68</c:v>
                </c:pt>
                <c:pt idx="3">
                  <c:v>31683.06</c:v>
                </c:pt>
                <c:pt idx="4">
                  <c:v>36085.21</c:v>
                </c:pt>
                <c:pt idx="5">
                  <c:v>44263.65</c:v>
                </c:pt>
                <c:pt idx="6">
                  <c:v>22200.85</c:v>
                </c:pt>
                <c:pt idx="7">
                  <c:v>41949.3</c:v>
                </c:pt>
                <c:pt idx="8">
                  <c:v>20509.68</c:v>
                </c:pt>
                <c:pt idx="9">
                  <c:v>31068.67</c:v>
                </c:pt>
                <c:pt idx="10">
                  <c:v>92027.71</c:v>
                </c:pt>
                <c:pt idx="11">
                  <c:v>62141.09</c:v>
                </c:pt>
              </c:numCache>
            </c:numRef>
          </c:val>
          <c:extLst>
            <c:ext xmlns:c16="http://schemas.microsoft.com/office/drawing/2014/chart" uri="{C3380CC4-5D6E-409C-BE32-E72D297353CC}">
              <c16:uniqueId val="{00000000-69FC-4F1B-B5E5-A6B472065BA3}"/>
            </c:ext>
          </c:extLst>
        </c:ser>
        <c:dLbls>
          <c:showLegendKey val="0"/>
          <c:showVal val="0"/>
          <c:showCatName val="0"/>
          <c:showSerName val="0"/>
          <c:showPercent val="0"/>
          <c:showBubbleSize val="0"/>
        </c:dLbls>
        <c:axId val="1996617807"/>
        <c:axId val="1996616847"/>
        <c:axId val="1053961791"/>
      </c:area3DChart>
      <c:catAx>
        <c:axId val="199661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616847"/>
        <c:crosses val="autoZero"/>
        <c:auto val="1"/>
        <c:lblAlgn val="ctr"/>
        <c:lblOffset val="100"/>
        <c:noMultiLvlLbl val="0"/>
      </c:catAx>
      <c:valAx>
        <c:axId val="199661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617807"/>
        <c:crosses val="autoZero"/>
        <c:crossBetween val="midCat"/>
      </c:valAx>
      <c:serAx>
        <c:axId val="1053961791"/>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6168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0" Type="http://schemas.openxmlformats.org/officeDocument/2006/relationships/image" Target="../media/image7.png"/><Relationship Id="rId4" Type="http://schemas.openxmlformats.org/officeDocument/2006/relationships/image" Target="../media/image2.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596900</xdr:colOff>
      <xdr:row>9</xdr:row>
      <xdr:rowOff>76201</xdr:rowOff>
    </xdr:from>
    <xdr:to>
      <xdr:col>3</xdr:col>
      <xdr:colOff>266700</xdr:colOff>
      <xdr:row>20</xdr:row>
      <xdr:rowOff>95251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6DA32A50-423C-1567-4579-DA11698C058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96900" y="1733551"/>
              <a:ext cx="1828800" cy="2044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133350</xdr:colOff>
      <xdr:row>2</xdr:row>
      <xdr:rowOff>50800</xdr:rowOff>
    </xdr:from>
    <xdr:to>
      <xdr:col>13</xdr:col>
      <xdr:colOff>133350</xdr:colOff>
      <xdr:row>13</xdr:row>
      <xdr:rowOff>19049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6574168-8F0A-4290-2CD6-47C240665E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04150" y="419100"/>
              <a:ext cx="1828800" cy="19938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2</xdr:row>
      <xdr:rowOff>31750</xdr:rowOff>
    </xdr:from>
    <xdr:to>
      <xdr:col>16</xdr:col>
      <xdr:colOff>114300</xdr:colOff>
      <xdr:row>13</xdr:row>
      <xdr:rowOff>60325</xdr:rowOff>
    </xdr:to>
    <mc:AlternateContent xmlns:mc="http://schemas.openxmlformats.org/markup-compatibility/2006">
      <mc:Choice xmlns:a14="http://schemas.microsoft.com/office/drawing/2010/main" Requires="a14">
        <xdr:graphicFrame macro="">
          <xdr:nvGraphicFramePr>
            <xdr:cNvPr id="4" name="Order Date (Month)">
              <a:extLst>
                <a:ext uri="{FF2B5EF4-FFF2-40B4-BE49-F238E27FC236}">
                  <a16:creationId xmlns:a16="http://schemas.microsoft.com/office/drawing/2014/main" id="{5480D1B2-2AD6-8581-7EE1-D72349358F43}"/>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dr:sp macro="" textlink="">
          <xdr:nvSpPr>
            <xdr:cNvPr id="0" name=""/>
            <xdr:cNvSpPr>
              <a:spLocks noTextEdit="1"/>
            </xdr:cNvSpPr>
          </xdr:nvSpPr>
          <xdr:spPr>
            <a:xfrm>
              <a:off x="9893300" y="400050"/>
              <a:ext cx="1828800" cy="2054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587076</xdr:colOff>
      <xdr:row>2</xdr:row>
      <xdr:rowOff>9621</xdr:rowOff>
    </xdr:from>
    <xdr:to>
      <xdr:col>21</xdr:col>
      <xdr:colOff>557562</xdr:colOff>
      <xdr:row>5</xdr:row>
      <xdr:rowOff>170365</xdr:rowOff>
    </xdr:to>
    <xdr:sp macro="" textlink="">
      <xdr:nvSpPr>
        <xdr:cNvPr id="2" name="Rectangle 1">
          <a:extLst>
            <a:ext uri="{FF2B5EF4-FFF2-40B4-BE49-F238E27FC236}">
              <a16:creationId xmlns:a16="http://schemas.microsoft.com/office/drawing/2014/main" id="{C6273E46-C8B7-31A2-CBE5-314C5210D5F7}"/>
            </a:ext>
          </a:extLst>
        </xdr:cNvPr>
        <xdr:cNvSpPr/>
      </xdr:nvSpPr>
      <xdr:spPr>
        <a:xfrm>
          <a:off x="1191100" y="195475"/>
          <a:ext cx="12050974" cy="718305"/>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000">
              <a:solidFill>
                <a:schemeClr val="bg2">
                  <a:lumMod val="10000"/>
                </a:schemeClr>
              </a:solidFill>
            </a:rPr>
            <a:t>Sales</a:t>
          </a:r>
          <a:r>
            <a:rPr lang="en-GB" sz="4000"/>
            <a:t> </a:t>
          </a:r>
          <a:r>
            <a:rPr lang="en-GB" sz="4000">
              <a:solidFill>
                <a:schemeClr val="bg2">
                  <a:lumMod val="10000"/>
                </a:schemeClr>
              </a:solidFill>
            </a:rPr>
            <a:t>Performance</a:t>
          </a:r>
          <a:r>
            <a:rPr lang="en-GB" sz="4000"/>
            <a:t> </a:t>
          </a:r>
          <a:r>
            <a:rPr lang="en-GB" sz="4000">
              <a:solidFill>
                <a:schemeClr val="bg2">
                  <a:lumMod val="10000"/>
                </a:schemeClr>
              </a:solidFill>
            </a:rPr>
            <a:t>Dashboard</a:t>
          </a:r>
        </a:p>
      </xdr:txBody>
    </xdr:sp>
    <xdr:clientData/>
  </xdr:twoCellAnchor>
  <xdr:twoCellAnchor>
    <xdr:from>
      <xdr:col>9</xdr:col>
      <xdr:colOff>143774</xdr:colOff>
      <xdr:row>5</xdr:row>
      <xdr:rowOff>170364</xdr:rowOff>
    </xdr:from>
    <xdr:to>
      <xdr:col>13</xdr:col>
      <xdr:colOff>107610</xdr:colOff>
      <xdr:row>13</xdr:row>
      <xdr:rowOff>45356</xdr:rowOff>
    </xdr:to>
    <xdr:sp macro="" textlink="">
      <xdr:nvSpPr>
        <xdr:cNvPr id="9" name="Rectangle 8">
          <a:extLst>
            <a:ext uri="{FF2B5EF4-FFF2-40B4-BE49-F238E27FC236}">
              <a16:creationId xmlns:a16="http://schemas.microsoft.com/office/drawing/2014/main" id="{1D21A999-7261-48E5-B6D7-5E0F7C7788D6}"/>
            </a:ext>
          </a:extLst>
        </xdr:cNvPr>
        <xdr:cNvSpPr/>
      </xdr:nvSpPr>
      <xdr:spPr>
        <a:xfrm>
          <a:off x="5586631" y="896078"/>
          <a:ext cx="2382884" cy="1326421"/>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l"/>
          <a:r>
            <a:rPr lang="en-GB" sz="2400" b="1">
              <a:solidFill>
                <a:schemeClr val="lt1"/>
              </a:solidFill>
              <a:latin typeface="+mn-lt"/>
              <a:ea typeface="+mn-ea"/>
              <a:cs typeface="+mn-cs"/>
            </a:rPr>
            <a:t>Total Quantity</a:t>
          </a:r>
          <a:r>
            <a:rPr lang="en-GB" sz="2400" b="1" baseline="0">
              <a:solidFill>
                <a:schemeClr val="lt1"/>
              </a:solidFill>
              <a:latin typeface="+mn-lt"/>
              <a:ea typeface="+mn-ea"/>
              <a:cs typeface="+mn-cs"/>
            </a:rPr>
            <a:t> Sold</a:t>
          </a:r>
          <a:br>
            <a:rPr lang="en-GB" sz="2400" b="1" baseline="0">
              <a:solidFill>
                <a:schemeClr val="lt1"/>
              </a:solidFill>
              <a:latin typeface="+mn-lt"/>
              <a:ea typeface="+mn-ea"/>
              <a:cs typeface="+mn-cs"/>
            </a:rPr>
          </a:br>
          <a:r>
            <a:rPr lang="en-GB" sz="2400" b="1" baseline="0">
              <a:solidFill>
                <a:schemeClr val="lt1"/>
              </a:solidFill>
              <a:latin typeface="+mn-lt"/>
              <a:ea typeface="+mn-ea"/>
              <a:cs typeface="+mn-cs"/>
            </a:rPr>
            <a:t>2117</a:t>
          </a:r>
          <a:endParaRPr lang="en-GB" sz="2400" b="1">
            <a:solidFill>
              <a:schemeClr val="lt1"/>
            </a:solidFill>
            <a:latin typeface="+mn-lt"/>
            <a:ea typeface="+mn-ea"/>
            <a:cs typeface="+mn-cs"/>
          </a:endParaRPr>
        </a:p>
      </xdr:txBody>
    </xdr:sp>
    <xdr:clientData/>
  </xdr:twoCellAnchor>
  <xdr:twoCellAnchor>
    <xdr:from>
      <xdr:col>13</xdr:col>
      <xdr:colOff>71888</xdr:colOff>
      <xdr:row>5</xdr:row>
      <xdr:rowOff>163286</xdr:rowOff>
    </xdr:from>
    <xdr:to>
      <xdr:col>17</xdr:col>
      <xdr:colOff>252987</xdr:colOff>
      <xdr:row>14</xdr:row>
      <xdr:rowOff>20824</xdr:rowOff>
    </xdr:to>
    <xdr:sp macro="" textlink="">
      <xdr:nvSpPr>
        <xdr:cNvPr id="11" name="Rectangle 10">
          <a:extLst>
            <a:ext uri="{FF2B5EF4-FFF2-40B4-BE49-F238E27FC236}">
              <a16:creationId xmlns:a16="http://schemas.microsoft.com/office/drawing/2014/main" id="{9AA3F50C-3D9C-4313-921A-8D5584FDAB61}"/>
            </a:ext>
          </a:extLst>
        </xdr:cNvPr>
        <xdr:cNvSpPr/>
      </xdr:nvSpPr>
      <xdr:spPr>
        <a:xfrm>
          <a:off x="7973102" y="1070429"/>
          <a:ext cx="2612242" cy="1490395"/>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GB" sz="2400" b="1"/>
            <a:t>Avg.</a:t>
          </a:r>
          <a:r>
            <a:rPr lang="en-GB" sz="2400" b="1" baseline="0"/>
            <a:t> Sales Per Order</a:t>
          </a:r>
          <a:br>
            <a:rPr lang="en-GB" sz="2400" b="1" baseline="0"/>
          </a:br>
          <a:r>
            <a:rPr lang="en-GB" sz="2400" b="1" baseline="0"/>
            <a:t>2358.39</a:t>
          </a:r>
          <a:endParaRPr lang="en-GB" sz="2400" b="1"/>
        </a:p>
      </xdr:txBody>
    </xdr:sp>
    <xdr:clientData/>
  </xdr:twoCellAnchor>
  <xdr:twoCellAnchor>
    <xdr:from>
      <xdr:col>17</xdr:col>
      <xdr:colOff>218282</xdr:colOff>
      <xdr:row>5</xdr:row>
      <xdr:rowOff>155065</xdr:rowOff>
    </xdr:from>
    <xdr:to>
      <xdr:col>21</xdr:col>
      <xdr:colOff>559405</xdr:colOff>
      <xdr:row>14</xdr:row>
      <xdr:rowOff>15118</xdr:rowOff>
    </xdr:to>
    <xdr:sp macro="" textlink="">
      <xdr:nvSpPr>
        <xdr:cNvPr id="13" name="Rectangle 12">
          <a:extLst>
            <a:ext uri="{FF2B5EF4-FFF2-40B4-BE49-F238E27FC236}">
              <a16:creationId xmlns:a16="http://schemas.microsoft.com/office/drawing/2014/main" id="{067DDF5C-E456-41AE-B8EE-150DC8911740}"/>
            </a:ext>
          </a:extLst>
        </xdr:cNvPr>
        <xdr:cNvSpPr/>
      </xdr:nvSpPr>
      <xdr:spPr>
        <a:xfrm>
          <a:off x="10507266" y="1097643"/>
          <a:ext cx="2762061" cy="1556694"/>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GB" sz="2400" b="1">
              <a:solidFill>
                <a:schemeClr val="lt1"/>
              </a:solidFill>
              <a:latin typeface="+mn-lt"/>
              <a:ea typeface="+mn-ea"/>
              <a:cs typeface="+mn-cs"/>
            </a:rPr>
            <a:t>Products Category </a:t>
          </a:r>
          <a:br>
            <a:rPr lang="en-GB" sz="2400" b="1">
              <a:solidFill>
                <a:schemeClr val="lt1"/>
              </a:solidFill>
              <a:latin typeface="+mn-lt"/>
              <a:ea typeface="+mn-ea"/>
              <a:cs typeface="+mn-cs"/>
            </a:rPr>
          </a:br>
          <a:r>
            <a:rPr lang="en-GB" sz="2400" b="1">
              <a:solidFill>
                <a:schemeClr val="lt1"/>
              </a:solidFill>
              <a:latin typeface="+mn-lt"/>
              <a:ea typeface="+mn-ea"/>
              <a:cs typeface="+mn-cs"/>
            </a:rPr>
            <a:t>10</a:t>
          </a:r>
        </a:p>
      </xdr:txBody>
    </xdr:sp>
    <xdr:clientData/>
  </xdr:twoCellAnchor>
  <xdr:twoCellAnchor>
    <xdr:from>
      <xdr:col>4</xdr:col>
      <xdr:colOff>537546</xdr:colOff>
      <xdr:row>13</xdr:row>
      <xdr:rowOff>55170</xdr:rowOff>
    </xdr:from>
    <xdr:to>
      <xdr:col>10</xdr:col>
      <xdr:colOff>132052</xdr:colOff>
      <xdr:row>33</xdr:row>
      <xdr:rowOff>110768</xdr:rowOff>
    </xdr:to>
    <xdr:graphicFrame macro="">
      <xdr:nvGraphicFramePr>
        <xdr:cNvPr id="29" name="Chart 28">
          <a:extLst>
            <a:ext uri="{FF2B5EF4-FFF2-40B4-BE49-F238E27FC236}">
              <a16:creationId xmlns:a16="http://schemas.microsoft.com/office/drawing/2014/main" id="{24A23EB2-E709-4CA0-B53E-8C9DC4AF3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143144</xdr:colOff>
      <xdr:row>13</xdr:row>
      <xdr:rowOff>23697</xdr:rowOff>
    </xdr:from>
    <xdr:to>
      <xdr:col>21</xdr:col>
      <xdr:colOff>544286</xdr:colOff>
      <xdr:row>33</xdr:row>
      <xdr:rowOff>71887</xdr:rowOff>
    </xdr:to>
    <xdr:graphicFrame macro="">
      <xdr:nvGraphicFramePr>
        <xdr:cNvPr id="31" name="Chart 30">
          <a:extLst>
            <a:ext uri="{FF2B5EF4-FFF2-40B4-BE49-F238E27FC236}">
              <a16:creationId xmlns:a16="http://schemas.microsoft.com/office/drawing/2014/main" id="{7C2ECB15-9879-4BCC-8C35-142E80832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601579</xdr:colOff>
      <xdr:row>5</xdr:row>
      <xdr:rowOff>151190</xdr:rowOff>
    </xdr:from>
    <xdr:to>
      <xdr:col>9</xdr:col>
      <xdr:colOff>153848</xdr:colOff>
      <xdr:row>13</xdr:row>
      <xdr:rowOff>63499</xdr:rowOff>
    </xdr:to>
    <xdr:sp macro="" textlink="">
      <xdr:nvSpPr>
        <xdr:cNvPr id="35" name="Rectangle 34">
          <a:extLst>
            <a:ext uri="{FF2B5EF4-FFF2-40B4-BE49-F238E27FC236}">
              <a16:creationId xmlns:a16="http://schemas.microsoft.com/office/drawing/2014/main" id="{D9D965DF-30B4-4A50-BBEC-F9EAB45574D5}"/>
            </a:ext>
          </a:extLst>
        </xdr:cNvPr>
        <xdr:cNvSpPr/>
      </xdr:nvSpPr>
      <xdr:spPr>
        <a:xfrm>
          <a:off x="3032722" y="1058333"/>
          <a:ext cx="2591197" cy="1363737"/>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GB" sz="2800" b="1">
              <a:solidFill>
                <a:schemeClr val="lt1"/>
              </a:solidFill>
              <a:latin typeface="+mn-lt"/>
              <a:ea typeface="+mn-ea"/>
              <a:cs typeface="+mn-cs"/>
            </a:rPr>
            <a:t>Total Sales</a:t>
          </a:r>
          <a:br>
            <a:rPr lang="en-GB" sz="2800" b="1">
              <a:solidFill>
                <a:schemeClr val="lt1"/>
              </a:solidFill>
              <a:latin typeface="+mn-lt"/>
              <a:ea typeface="+mn-ea"/>
              <a:cs typeface="+mn-cs"/>
            </a:rPr>
          </a:br>
          <a:r>
            <a:rPr lang="en-GB" sz="2800" b="1">
              <a:solidFill>
                <a:schemeClr val="lt1"/>
              </a:solidFill>
              <a:latin typeface="+mn-lt"/>
              <a:ea typeface="+mn-ea"/>
              <a:cs typeface="+mn-cs"/>
            </a:rPr>
            <a:t>471677.02</a:t>
          </a:r>
          <a:br>
            <a:rPr lang="en-GB" sz="1050" b="1">
              <a:solidFill>
                <a:schemeClr val="lt1"/>
              </a:solidFill>
              <a:latin typeface="+mn-lt"/>
              <a:ea typeface="+mn-ea"/>
              <a:cs typeface="+mn-cs"/>
            </a:rPr>
          </a:br>
          <a:endParaRPr lang="en-GB" sz="1050" b="1">
            <a:solidFill>
              <a:schemeClr val="lt1"/>
            </a:solidFill>
            <a:latin typeface="+mn-lt"/>
            <a:ea typeface="+mn-ea"/>
            <a:cs typeface="+mn-cs"/>
          </a:endParaRPr>
        </a:p>
      </xdr:txBody>
    </xdr:sp>
    <xdr:clientData/>
  </xdr:twoCellAnchor>
  <xdr:twoCellAnchor editAs="oneCell">
    <xdr:from>
      <xdr:col>11</xdr:col>
      <xdr:colOff>13917</xdr:colOff>
      <xdr:row>8</xdr:row>
      <xdr:rowOff>97297</xdr:rowOff>
    </xdr:from>
    <xdr:to>
      <xdr:col>12</xdr:col>
      <xdr:colOff>126212</xdr:colOff>
      <xdr:row>11</xdr:row>
      <xdr:rowOff>109910</xdr:rowOff>
    </xdr:to>
    <xdr:pic>
      <xdr:nvPicPr>
        <xdr:cNvPr id="43" name="Graphic 42" descr="Computer with solid fill">
          <a:extLst>
            <a:ext uri="{FF2B5EF4-FFF2-40B4-BE49-F238E27FC236}">
              <a16:creationId xmlns:a16="http://schemas.microsoft.com/office/drawing/2014/main" id="{C0E86AFC-3ED1-01C4-08A8-2F3382566C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99560" y="1548726"/>
          <a:ext cx="720081" cy="556898"/>
        </a:xfrm>
        <a:prstGeom prst="rect">
          <a:avLst/>
        </a:prstGeom>
      </xdr:spPr>
    </xdr:pic>
    <xdr:clientData/>
  </xdr:twoCellAnchor>
  <xdr:twoCellAnchor editAs="oneCell">
    <xdr:from>
      <xdr:col>15</xdr:col>
      <xdr:colOff>249068</xdr:colOff>
      <xdr:row>8</xdr:row>
      <xdr:rowOff>54507</xdr:rowOff>
    </xdr:from>
    <xdr:to>
      <xdr:col>16</xdr:col>
      <xdr:colOff>548361</xdr:colOff>
      <xdr:row>11</xdr:row>
      <xdr:rowOff>114284</xdr:rowOff>
    </xdr:to>
    <xdr:pic>
      <xdr:nvPicPr>
        <xdr:cNvPr id="45" name="Graphic 44" descr="Bar graph with upward trend with solid fill">
          <a:extLst>
            <a:ext uri="{FF2B5EF4-FFF2-40B4-BE49-F238E27FC236}">
              <a16:creationId xmlns:a16="http://schemas.microsoft.com/office/drawing/2014/main" id="{A576496D-ECE7-9EFA-8FE5-C9945A86C7D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320497" y="1324507"/>
          <a:ext cx="904054" cy="604062"/>
        </a:xfrm>
        <a:prstGeom prst="rect">
          <a:avLst/>
        </a:prstGeom>
      </xdr:spPr>
    </xdr:pic>
    <xdr:clientData/>
  </xdr:twoCellAnchor>
  <xdr:twoCellAnchor editAs="oneCell">
    <xdr:from>
      <xdr:col>19</xdr:col>
      <xdr:colOff>141640</xdr:colOff>
      <xdr:row>8</xdr:row>
      <xdr:rowOff>31432</xdr:rowOff>
    </xdr:from>
    <xdr:to>
      <xdr:col>21</xdr:col>
      <xdr:colOff>105833</xdr:colOff>
      <xdr:row>13</xdr:row>
      <xdr:rowOff>62726</xdr:rowOff>
    </xdr:to>
    <xdr:pic>
      <xdr:nvPicPr>
        <xdr:cNvPr id="53" name="Graphic 52" descr="Cycling with solid fill">
          <a:extLst>
            <a:ext uri="{FF2B5EF4-FFF2-40B4-BE49-F238E27FC236}">
              <a16:creationId xmlns:a16="http://schemas.microsoft.com/office/drawing/2014/main" id="{667A1D03-4428-CB34-A291-734CA1504AD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32116" y="1301432"/>
          <a:ext cx="1173717" cy="938436"/>
        </a:xfrm>
        <a:prstGeom prst="rect">
          <a:avLst/>
        </a:prstGeom>
      </xdr:spPr>
    </xdr:pic>
    <xdr:clientData/>
  </xdr:twoCellAnchor>
  <xdr:twoCellAnchor editAs="oneCell">
    <xdr:from>
      <xdr:col>1</xdr:col>
      <xdr:colOff>589643</xdr:colOff>
      <xdr:row>5</xdr:row>
      <xdr:rowOff>168473</xdr:rowOff>
    </xdr:from>
    <xdr:to>
      <xdr:col>4</xdr:col>
      <xdr:colOff>583866</xdr:colOff>
      <xdr:row>15</xdr:row>
      <xdr:rowOff>29451</xdr:rowOff>
    </xdr:to>
    <mc:AlternateContent xmlns:mc="http://schemas.openxmlformats.org/markup-compatibility/2006" xmlns:a14="http://schemas.microsoft.com/office/drawing/2010/main">
      <mc:Choice Requires="a14">
        <xdr:graphicFrame macro="">
          <xdr:nvGraphicFramePr>
            <xdr:cNvPr id="55" name="Region 1">
              <a:extLst>
                <a:ext uri="{FF2B5EF4-FFF2-40B4-BE49-F238E27FC236}">
                  <a16:creationId xmlns:a16="http://schemas.microsoft.com/office/drawing/2014/main" id="{411DE869-C955-4D2F-A94B-A15A18B6F82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6421" y="1085695"/>
              <a:ext cx="1814556" cy="16954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574524</xdr:colOff>
      <xdr:row>15</xdr:row>
      <xdr:rowOff>59448</xdr:rowOff>
    </xdr:from>
    <xdr:to>
      <xdr:col>4</xdr:col>
      <xdr:colOff>563529</xdr:colOff>
      <xdr:row>23</xdr:row>
      <xdr:rowOff>133046</xdr:rowOff>
    </xdr:to>
    <mc:AlternateContent xmlns:mc="http://schemas.openxmlformats.org/markup-compatibility/2006" xmlns:a14="http://schemas.microsoft.com/office/drawing/2010/main">
      <mc:Choice Requires="a14">
        <xdr:graphicFrame macro="">
          <xdr:nvGraphicFramePr>
            <xdr:cNvPr id="59" name="Product 1">
              <a:extLst>
                <a:ext uri="{FF2B5EF4-FFF2-40B4-BE49-F238E27FC236}">
                  <a16:creationId xmlns:a16="http://schemas.microsoft.com/office/drawing/2014/main" id="{C663DB88-4190-4DF7-A7DE-D554BBC351A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81302" y="2811115"/>
              <a:ext cx="1809338" cy="15411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566706</xdr:colOff>
      <xdr:row>33</xdr:row>
      <xdr:rowOff>77479</xdr:rowOff>
    </xdr:from>
    <xdr:to>
      <xdr:col>21</xdr:col>
      <xdr:colOff>544285</xdr:colOff>
      <xdr:row>45</xdr:row>
      <xdr:rowOff>154297</xdr:rowOff>
    </xdr:to>
    <xdr:graphicFrame macro="">
      <xdr:nvGraphicFramePr>
        <xdr:cNvPr id="64" name="Chart 63">
          <a:extLst>
            <a:ext uri="{FF2B5EF4-FFF2-40B4-BE49-F238E27FC236}">
              <a16:creationId xmlns:a16="http://schemas.microsoft.com/office/drawing/2014/main" id="{217CEE01-95F6-4E76-9294-7A99D5659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574524</xdr:colOff>
      <xdr:row>23</xdr:row>
      <xdr:rowOff>136072</xdr:rowOff>
    </xdr:from>
    <xdr:to>
      <xdr:col>4</xdr:col>
      <xdr:colOff>537976</xdr:colOff>
      <xdr:row>33</xdr:row>
      <xdr:rowOff>71888</xdr:rowOff>
    </xdr:to>
    <mc:AlternateContent xmlns:mc="http://schemas.openxmlformats.org/markup-compatibility/2006" xmlns:a14="http://schemas.microsoft.com/office/drawing/2010/main">
      <mc:Choice Requires="a14">
        <xdr:graphicFrame macro="">
          <xdr:nvGraphicFramePr>
            <xdr:cNvPr id="66" name="Order Date (Month) 1">
              <a:extLst>
                <a:ext uri="{FF2B5EF4-FFF2-40B4-BE49-F238E27FC236}">
                  <a16:creationId xmlns:a16="http://schemas.microsoft.com/office/drawing/2014/main" id="{6D1BB8E6-9AAA-4765-9EF2-721DFA9B91D1}"/>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1181302" y="4355294"/>
              <a:ext cx="1783785" cy="17702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338667</xdr:colOff>
      <xdr:row>6</xdr:row>
      <xdr:rowOff>28222</xdr:rowOff>
    </xdr:from>
    <xdr:to>
      <xdr:col>9</xdr:col>
      <xdr:colOff>39511</xdr:colOff>
      <xdr:row>11</xdr:row>
      <xdr:rowOff>25400</xdr:rowOff>
    </xdr:to>
    <xdr:pic>
      <xdr:nvPicPr>
        <xdr:cNvPr id="4" name="Graphic 3" descr="Dollar with solid fill">
          <a:extLst>
            <a:ext uri="{FF2B5EF4-FFF2-40B4-BE49-F238E27FC236}">
              <a16:creationId xmlns:a16="http://schemas.microsoft.com/office/drawing/2014/main" id="{94D369A4-8BFF-0F53-5CFB-A92148104E1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586111" y="1128889"/>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hamed Sohag" refreshedDate="46200.080324189817" createdVersion="5" refreshedVersion="8" minRefreshableVersion="3" recordCount="0" supportSubquery="1" supportAdvancedDrill="1" xr:uid="{56317922-F2C1-44B2-9950-EFBC45BA2B79}">
  <cacheSource type="external" connectionId="3"/>
  <cacheFields count="3">
    <cacheField name="[Sales Data].[Region].[Region]" caption="Region" numFmtId="0" hierarchy="1" level="1">
      <sharedItems count="5">
        <s v="Central"/>
        <s v="East"/>
        <s v="North"/>
        <s v="South"/>
        <s v="West"/>
      </sharedItems>
    </cacheField>
    <cacheField name="[Measures].[Total Sales]" caption="Total Sales" numFmtId="0" hierarchy="11" level="32767"/>
    <cacheField name="[Sales Data].[Product].[Product]" caption="Product" numFmtId="0" hierarchy="3" level="1">
      <sharedItems containsSemiMixedTypes="0" containsNonDate="0" containsString="0"/>
    </cacheField>
  </cacheFields>
  <cacheHierarchies count="18">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2" memberValueDatatype="130" unbalanced="0">
      <fieldsUsage count="2">
        <fieldUsage x="-1"/>
        <fieldUsage x="0"/>
      </fieldsUsage>
    </cacheHierarchy>
    <cacheHierarchy uniqueName="[Sales Data].[Customer]" caption="Customer" attribute="1" defaultMemberUniqueName="[Sales Data].[Customer].[All]" allUniqueName="[Sales Data].[Customer].[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2" memberValueDatatype="130" unbalanced="0">
      <fieldsUsage count="2">
        <fieldUsage x="-1"/>
        <fieldUsage x="2"/>
      </fieldsUsage>
    </cacheHierarchy>
    <cacheHierarchy uniqueName="[Sales Data].[Quantity]" caption="Quantity" attribute="1" defaultMemberUniqueName="[Sales Data].[Quantity].[All]" allUniqueName="[Sales Data].[Quantity].[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Total Sales]" caption="Total Sales" measure="1" displayFolder="" measureGroup="Sales Data" count="0" oneField="1">
      <fieldsUsage count="1">
        <fieldUsage x="1"/>
      </fieldsUsage>
    </cacheHierarchy>
    <cacheHierarchy uniqueName="[Measures].[Total Quantity Sold]" caption="Total Quantity Sold" measure="1" displayFolder="" measureGroup="Sales Data" count="0"/>
    <cacheHierarchy uniqueName="[Measures].[Average Sales per Order]" caption="Average Sales per Order" measure="1" displayFolder="" measureGroup="Sales Data" count="0"/>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Unit Price]" caption="Sum of Unit Price" measure="1" displayFolder="" measureGroup="Sales 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hamed Sohag" refreshedDate="46200.080324768518" createdVersion="5" refreshedVersion="8" minRefreshableVersion="3" recordCount="0" supportSubquery="1" supportAdvancedDrill="1" xr:uid="{97EC862C-823D-44E4-9414-9E4961A70D85}">
  <cacheSource type="external" connectionId="3"/>
  <cacheFields count="2">
    <cacheField name="[Sales Data].[Product].[Product]" caption="Product" numFmtId="0" hierarchy="3" level="1">
      <sharedItems count="10">
        <s v="Desk Chair"/>
        <s v="External Ssd"/>
        <s v="Headset"/>
        <s v="Keyboard"/>
        <s v="Laptop"/>
        <s v="Monitor"/>
        <s v="Mouse"/>
        <s v="Printer"/>
        <s v="Usb Hub"/>
        <s v="Webcam"/>
      </sharedItems>
    </cacheField>
    <cacheField name="[Measures].[Total Sales]" caption="Total Sales" numFmtId="0" hierarchy="11" level="32767"/>
  </cacheFields>
  <cacheHierarchies count="18">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2" memberValueDatatype="130" unbalanced="0"/>
    <cacheHierarchy uniqueName="[Sales Data].[Customer]" caption="Customer" attribute="1" defaultMemberUniqueName="[Sales Data].[Customer].[All]" allUniqueName="[Sales Data].[Customer].[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2" memberValueDatatype="130" unbalanced="0">
      <fieldsUsage count="2">
        <fieldUsage x="-1"/>
        <fieldUsage x="0"/>
      </fieldsUsage>
    </cacheHierarchy>
    <cacheHierarchy uniqueName="[Sales Data].[Quantity]" caption="Quantity" attribute="1" defaultMemberUniqueName="[Sales Data].[Quantity].[All]" allUniqueName="[Sales Data].[Quantity].[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Total Sales]" caption="Total Sales" measure="1" displayFolder="" measureGroup="Sales Data" count="0" oneField="1">
      <fieldsUsage count="1">
        <fieldUsage x="1"/>
      </fieldsUsage>
    </cacheHierarchy>
    <cacheHierarchy uniqueName="[Measures].[Total Quantity Sold]" caption="Total Quantity Sold" measure="1" displayFolder="" measureGroup="Sales Data" count="0"/>
    <cacheHierarchy uniqueName="[Measures].[Average Sales per Order]" caption="Average Sales per Order" measure="1" displayFolder="" measureGroup="Sales Data" count="0"/>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Unit Price]" caption="Sum of Unit Price" measure="1" displayFolder="" measureGroup="Sales 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hamed Sohag" refreshedDate="46200.080325115741" createdVersion="5" refreshedVersion="8" minRefreshableVersion="3" recordCount="0" supportSubquery="1" supportAdvancedDrill="1" xr:uid="{331758E2-6F13-43A8-9C1A-A2CA6BF372FA}">
  <cacheSource type="external" connectionId="3"/>
  <cacheFields count="3">
    <cacheField name="[Sales Data].[Order Date (Month)].[Order Date (Month)]" caption="Order Date (Month)" numFmtId="0" hierarchy="9" level="1">
      <sharedItems count="12">
        <s v="Jan"/>
        <s v="Feb"/>
        <s v="Mar"/>
        <s v="Apr"/>
        <s v="May"/>
        <s v="Jun"/>
        <s v="Jul"/>
        <s v="Aug"/>
        <s v="Sep"/>
        <s v="Oct"/>
        <s v="Nov"/>
        <s v="Dec"/>
      </sharedItems>
    </cacheField>
    <cacheField name="[Measures].[Total Sales]" caption="Total Sales" numFmtId="0" hierarchy="11" level="32767"/>
    <cacheField name="[Sales Data].[Product].[Product]" caption="Product" numFmtId="0" hierarchy="3" level="1">
      <sharedItems containsSemiMixedTypes="0" containsNonDate="0" containsString="0"/>
    </cacheField>
  </cacheFields>
  <cacheHierarchies count="18">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2" memberValueDatatype="130" unbalanced="0"/>
    <cacheHierarchy uniqueName="[Sales Data].[Customer]" caption="Customer" attribute="1" defaultMemberUniqueName="[Sales Data].[Customer].[All]" allUniqueName="[Sales Data].[Customer].[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2" memberValueDatatype="130" unbalanced="0">
      <fieldsUsage count="2">
        <fieldUsage x="-1"/>
        <fieldUsage x="2"/>
      </fieldsUsage>
    </cacheHierarchy>
    <cacheHierarchy uniqueName="[Sales Data].[Quantity]" caption="Quantity" attribute="1" defaultMemberUniqueName="[Sales Data].[Quantity].[All]" allUniqueName="[Sales Data].[Quantity].[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0"/>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Total Sales]" caption="Total Sales" measure="1" displayFolder="" measureGroup="Sales Data" count="0" oneField="1">
      <fieldsUsage count="1">
        <fieldUsage x="1"/>
      </fieldsUsage>
    </cacheHierarchy>
    <cacheHierarchy uniqueName="[Measures].[Total Quantity Sold]" caption="Total Quantity Sold" measure="1" displayFolder="" measureGroup="Sales Data" count="0"/>
    <cacheHierarchy uniqueName="[Measures].[Average Sales per Order]" caption="Average Sales per Order" measure="1" displayFolder="" measureGroup="Sales Data" count="0"/>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Unit Price]" caption="Sum of Unit Price" measure="1" displayFolder="" measureGroup="Sales 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hamed Sohag" refreshedDate="46200.080325694442" createdVersion="5" refreshedVersion="8" minRefreshableVersion="3" recordCount="0" supportSubquery="1" supportAdvancedDrill="1" xr:uid="{981C0733-C524-465A-B8F9-DE04AB30863A}">
  <cacheSource type="external" connectionId="3"/>
  <cacheFields count="3">
    <cacheField name="[Sales Data].[Order Date (Month)].[Order Date (Month)]" caption="Order Date (Month)" numFmtId="0" hierarchy="9" level="1">
      <sharedItems count="12">
        <s v="Jan"/>
        <s v="Feb"/>
        <s v="Mar"/>
        <s v="Apr"/>
        <s v="May"/>
        <s v="Jun"/>
        <s v="Jul"/>
        <s v="Aug"/>
        <s v="Sep"/>
        <s v="Oct"/>
        <s v="Nov"/>
        <s v="Dec"/>
      </sharedItems>
    </cacheField>
    <cacheField name="[Measures].[Total Sales]" caption="Total Sales" numFmtId="0" hierarchy="11" level="32767"/>
    <cacheField name="[Sales Data].[Product].[Product]" caption="Product" numFmtId="0" hierarchy="3" level="1">
      <sharedItems containsSemiMixedTypes="0" containsNonDate="0" containsString="0"/>
    </cacheField>
  </cacheFields>
  <cacheHierarchies count="18">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2" memberValueDatatype="130" unbalanced="0"/>
    <cacheHierarchy uniqueName="[Sales Data].[Customer]" caption="Customer" attribute="1" defaultMemberUniqueName="[Sales Data].[Customer].[All]" allUniqueName="[Sales Data].[Customer].[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2" memberValueDatatype="130" unbalanced="0">
      <fieldsUsage count="2">
        <fieldUsage x="-1"/>
        <fieldUsage x="2"/>
      </fieldsUsage>
    </cacheHierarchy>
    <cacheHierarchy uniqueName="[Sales Data].[Quantity]" caption="Quantity" attribute="1" defaultMemberUniqueName="[Sales Data].[Quantity].[All]" allUniqueName="[Sales Data].[Quantity].[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fieldsUsage count="2">
        <fieldUsage x="-1"/>
        <fieldUsage x="0"/>
      </fieldsUsage>
    </cacheHierarchy>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Total Sales]" caption="Total Sales" measure="1" displayFolder="" measureGroup="Sales Data" count="0" oneField="1">
      <fieldsUsage count="1">
        <fieldUsage x="1"/>
      </fieldsUsage>
    </cacheHierarchy>
    <cacheHierarchy uniqueName="[Measures].[Total Quantity Sold]" caption="Total Quantity Sold" measure="1" displayFolder="" measureGroup="Sales Data" count="0"/>
    <cacheHierarchy uniqueName="[Measures].[Average Sales per Order]" caption="Average Sales per Order" measure="1" displayFolder="" measureGroup="Sales Data" count="0"/>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Unit Price]" caption="Sum of Unit Price" measure="1" displayFolder="" measureGroup="Sales 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hamed Sohag" refreshedDate="46200.080326157411" createdVersion="5" refreshedVersion="8" minRefreshableVersion="3" recordCount="0" supportSubquery="1" supportAdvancedDrill="1" xr:uid="{4339C3A5-70A4-4635-81DC-3CF1B62A8BC0}">
  <cacheSource type="external" connectionId="3"/>
  <cacheFields count="2">
    <cacheField name="[Sales Data].[Product].[Product]" caption="Product" numFmtId="0" hierarchy="3" level="1">
      <sharedItems count="10">
        <s v="Desk Chair"/>
        <s v="External Ssd"/>
        <s v="Headset"/>
        <s v="Keyboard"/>
        <s v="Laptop"/>
        <s v="Monitor"/>
        <s v="Mouse"/>
        <s v="Printer"/>
        <s v="Usb Hub"/>
        <s v="Webcam"/>
      </sharedItems>
    </cacheField>
    <cacheField name="[Measures].[Total Sales]" caption="Total Sales" numFmtId="0" hierarchy="11" level="32767"/>
  </cacheFields>
  <cacheHierarchies count="18">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2" memberValueDatatype="130" unbalanced="0"/>
    <cacheHierarchy uniqueName="[Sales Data].[Customer]" caption="Customer" attribute="1" defaultMemberUniqueName="[Sales Data].[Customer].[All]" allUniqueName="[Sales Data].[Customer].[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2" memberValueDatatype="130" unbalanced="0">
      <fieldsUsage count="2">
        <fieldUsage x="-1"/>
        <fieldUsage x="0"/>
      </fieldsUsage>
    </cacheHierarchy>
    <cacheHierarchy uniqueName="[Sales Data].[Quantity]" caption="Quantity" attribute="1" defaultMemberUniqueName="[Sales Data].[Quantity].[All]" allUniqueName="[Sales Data].[Quantity].[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Total Sales]" caption="Total Sales" measure="1" displayFolder="" measureGroup="Sales Data" count="0" oneField="1">
      <fieldsUsage count="1">
        <fieldUsage x="1"/>
      </fieldsUsage>
    </cacheHierarchy>
    <cacheHierarchy uniqueName="[Measures].[Total Quantity Sold]" caption="Total Quantity Sold" measure="1" displayFolder="" measureGroup="Sales Data" count="0"/>
    <cacheHierarchy uniqueName="[Measures].[Average Sales per Order]" caption="Average Sales per Order" measure="1" displayFolder="" measureGroup="Sales Data" count="0"/>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Unit Price]" caption="Sum of Unit Price" measure="1" displayFolder="" measureGroup="Sales 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hamed Sohag" refreshedDate="46200.080326620373" createdVersion="5" refreshedVersion="8" minRefreshableVersion="3" recordCount="0" supportSubquery="1" supportAdvancedDrill="1" xr:uid="{27085C6E-EF2D-4B43-AFD4-C2E5F9FD4CB3}">
  <cacheSource type="external" connectionId="3"/>
  <cacheFields count="3">
    <cacheField name="[Sales Data].[Region].[Region]" caption="Region" numFmtId="0" hierarchy="1" level="1">
      <sharedItems count="5">
        <s v="Central"/>
        <s v="East"/>
        <s v="North"/>
        <s v="South"/>
        <s v="West"/>
      </sharedItems>
    </cacheField>
    <cacheField name="[Measures].[Total Sales]" caption="Total Sales" numFmtId="0" hierarchy="11" level="32767"/>
    <cacheField name="[Sales Data].[Product].[Product]" caption="Product" numFmtId="0" hierarchy="3" level="1">
      <sharedItems containsSemiMixedTypes="0" containsNonDate="0" containsString="0"/>
    </cacheField>
  </cacheFields>
  <cacheHierarchies count="18">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2" memberValueDatatype="130" unbalanced="0">
      <fieldsUsage count="2">
        <fieldUsage x="-1"/>
        <fieldUsage x="0"/>
      </fieldsUsage>
    </cacheHierarchy>
    <cacheHierarchy uniqueName="[Sales Data].[Customer]" caption="Customer" attribute="1" defaultMemberUniqueName="[Sales Data].[Customer].[All]" allUniqueName="[Sales Data].[Customer].[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2" memberValueDatatype="130" unbalanced="0">
      <fieldsUsage count="2">
        <fieldUsage x="-1"/>
        <fieldUsage x="2"/>
      </fieldsUsage>
    </cacheHierarchy>
    <cacheHierarchy uniqueName="[Sales Data].[Quantity]" caption="Quantity" attribute="1" defaultMemberUniqueName="[Sales Data].[Quantity].[All]" allUniqueName="[Sales Data].[Quantity].[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Total Sales]" caption="Total Sales" measure="1" displayFolder="" measureGroup="Sales Data" count="0" oneField="1">
      <fieldsUsage count="1">
        <fieldUsage x="1"/>
      </fieldsUsage>
    </cacheHierarchy>
    <cacheHierarchy uniqueName="[Measures].[Total Quantity Sold]" caption="Total Quantity Sold" measure="1" displayFolder="" measureGroup="Sales Data" count="0"/>
    <cacheHierarchy uniqueName="[Measures].[Average Sales per Order]" caption="Average Sales per Order" measure="1" displayFolder="" measureGroup="Sales Data" count="0"/>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Unit Price]" caption="Sum of Unit Price" measure="1" displayFolder="" measureGroup="Sales 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Data" uniqueName="[Sales Data]" caption="Sales Data"/>
  </dimensions>
  <measureGroups count="1">
    <measureGroup name="Sales Data" caption="Sales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if Ahamed Sohag" refreshedDate="46200.078116087963" createdVersion="3" refreshedVersion="8" minRefreshableVersion="3" recordCount="0" supportSubquery="1" supportAdvancedDrill="1" xr:uid="{1354F142-3931-4A25-9820-3B18DB67AF1B}">
  <cacheSource type="external" connectionId="3">
    <extLst>
      <ext xmlns:x14="http://schemas.microsoft.com/office/spreadsheetml/2009/9/main" uri="{F057638F-6D5F-4e77-A914-E7F072B9BCA8}">
        <x14:sourceConnection name="ThisWorkbookDataModel"/>
      </ext>
    </extLst>
  </cacheSource>
  <cacheFields count="0"/>
  <cacheHierarchies count="18">
    <cacheHierarchy uniqueName="[Sales Data].[Order Date]" caption="Order Date" attribute="1" time="1" defaultMemberUniqueName="[Sales Data].[Order Date].[All]" allUniqueName="[Sales Data].[Order 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2" memberValueDatatype="130" unbalanced="0"/>
    <cacheHierarchy uniqueName="[Sales Data].[Customer]" caption="Customer" attribute="1" defaultMemberUniqueName="[Sales Data].[Customer].[All]" allUniqueName="[Sales Data].[Customer].[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2" memberValueDatatype="130" unbalanced="0"/>
    <cacheHierarchy uniqueName="[Sales Data].[Quantity]" caption="Quantity" attribute="1" defaultMemberUniqueName="[Sales Data].[Quantity].[All]" allUniqueName="[Sales Data].[Quantity].[All]" dimensionUniqueName="[Sales Data]" displayFolder="" count="0" memberValueDatatype="5" unbalanced="0"/>
    <cacheHierarchy uniqueName="[Sales Data].[Unit Price]" caption="Unit Price" attribute="1" defaultMemberUniqueName="[Sales Data].[Unit Price].[All]" allUniqueName="[Sales Data].[Unit Price].[All]" dimensionUniqueName="[Sales Data]" displayFolder="" count="0" memberValueDatatype="5" unbalanced="0"/>
    <cacheHierarchy uniqueName="[Sales Data].[Sales Amount]" caption="Sales Amount" attribute="1" defaultMemberUniqueName="[Sales Data].[Sales Amount].[All]" allUniqueName="[Sales Data].[Sales Amount].[All]" dimensionUniqueName="[Sales Data]" displayFolder="" count="0" memberValueDatatype="5" unbalanced="0"/>
    <cacheHierarchy uniqueName="[Sales Data].[Order Date (Year)]" caption="Order Date (Year)" attribute="1" defaultMemberUniqueName="[Sales Data].[Order Date (Year)].[All]" allUniqueName="[Sales Data].[Order Date (Year)].[All]" dimensionUniqueName="[Sales Data]" displayFolder="" count="0" memberValueDatatype="130" unbalanced="0"/>
    <cacheHierarchy uniqueName="[Sales Data].[Order Date (Quarter)]" caption="Order Date (Quarter)" attribute="1" defaultMemberUniqueName="[Sales Data].[Order Date (Quarter)].[All]" allUniqueName="[Sales Data].[Order Date (Quarter)].[All]" dimensionUniqueName="[Sales Data]" displayFolder="" count="0" memberValueDatatype="130" unbalanced="0"/>
    <cacheHierarchy uniqueName="[Sales Data].[Order Date (Month)]" caption="Order Date (Month)" attribute="1" defaultMemberUniqueName="[Sales Data].[Order Date (Month)].[All]" allUniqueName="[Sales Data].[Order Date (Month)].[All]" dimensionUniqueName="[Sales Data]" displayFolder="" count="2" memberValueDatatype="130" unbalanced="0"/>
    <cacheHierarchy uniqueName="[Sales Data].[Order Date (Month Index)]" caption="Order Date (Month Index)" attribute="1" defaultMemberUniqueName="[Sales Data].[Order Date (Month Index)].[All]" allUniqueName="[Sales Data].[Order Date (Month Index)].[All]" dimensionUniqueName="[Sales Data]" displayFolder="" count="0" memberValueDatatype="20" unbalanced="0" hidden="1"/>
    <cacheHierarchy uniqueName="[Measures].[Total Sales]" caption="Total Sales" measure="1" displayFolder="" measureGroup="Sales Data" count="0"/>
    <cacheHierarchy uniqueName="[Measures].[Total Quantity Sold]" caption="Total Quantity Sold" measure="1" displayFolder="" measureGroup="Sales Data" count="0"/>
    <cacheHierarchy uniqueName="[Measures].[Average Sales per Order]" caption="Average Sales per Order" measure="1" displayFolder="" measureGroup="Sales Data" count="0"/>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Unit Price]" caption="Sum of Unit Price" measure="1" displayFolder="" measureGroup="Sales 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 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854329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E44EE5-8941-4148-8D1A-34C924E0D036}" name="PivotTable2" cacheId="241" applyNumberFormats="0" applyBorderFormats="0" applyFontFormats="0" applyPatternFormats="0" applyAlignmentFormats="0" applyWidthHeightFormats="1" dataCaption="Values" tag="dc25f266-8b04-4c0c-8c8c-d3dfce9d93de" updatedVersion="8" minRefreshableVersion="3" useAutoFormatting="1" subtotalHiddenItems="1" itemPrintTitles="1" createdVersion="5" indent="0" outline="1" outlineData="1" multipleFieldFilters="0" chartFormat="21">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47" series="1">
      <pivotArea type="data" outline="0" fieldPosition="0">
        <references count="1">
          <reference field="4294967294" count="1" selected="0">
            <x v="0"/>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0" count="1" selected="0">
            <x v="0"/>
          </reference>
        </references>
      </pivotArea>
    </chartFormat>
    <chartFormat chart="20" format="14">
      <pivotArea type="data" outline="0" fieldPosition="0">
        <references count="2">
          <reference field="4294967294" count="1" selected="0">
            <x v="0"/>
          </reference>
          <reference field="0" count="1" selected="0">
            <x v="1"/>
          </reference>
        </references>
      </pivotArea>
    </chartFormat>
    <chartFormat chart="20" format="15">
      <pivotArea type="data" outline="0" fieldPosition="0">
        <references count="2">
          <reference field="4294967294" count="1" selected="0">
            <x v="0"/>
          </reference>
          <reference field="0" count="1" selected="0">
            <x v="2"/>
          </reference>
        </references>
      </pivotArea>
    </chartFormat>
    <chartFormat chart="20" format="16">
      <pivotArea type="data" outline="0" fieldPosition="0">
        <references count="2">
          <reference field="4294967294" count="1" selected="0">
            <x v="0"/>
          </reference>
          <reference field="0" count="1" selected="0">
            <x v="3"/>
          </reference>
        </references>
      </pivotArea>
    </chartFormat>
    <chartFormat chart="20" format="17">
      <pivotArea type="data" outline="0" fieldPosition="0">
        <references count="2">
          <reference field="4294967294" count="1" selected="0">
            <x v="0"/>
          </reference>
          <reference field="0" count="1" selected="0">
            <x v="4"/>
          </reference>
        </references>
      </pivotArea>
    </chartFormat>
  </chartFormats>
  <pivotHierarchies count="1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9EEB84-FE56-47C3-9BE1-6325BED5D9BD}" name="PivotTable1" cacheId="238" applyNumberFormats="0" applyBorderFormats="0" applyFontFormats="0" applyPatternFormats="0" applyAlignmentFormats="0" applyWidthHeightFormats="1" dataCaption="Values" tag="63ceb3e0-d13c-4e88-a0ff-234d0c102cf2" updatedVersion="8" minRefreshableVersion="3" useAutoFormatting="1" subtotalHiddenItems="1" itemPrintTitles="1" createdVersion="5" indent="0" outline="1" outlineData="1" multipleFieldFilters="0" chartFormat="14">
  <location ref="B3:C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1">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0" count="1" selected="0">
            <x v="0"/>
          </reference>
        </references>
      </pivotArea>
    </chartFormat>
    <chartFormat chart="8" format="24">
      <pivotArea type="data" outline="0" fieldPosition="0">
        <references count="2">
          <reference field="4294967294" count="1" selected="0">
            <x v="0"/>
          </reference>
          <reference field="0" count="1" selected="0">
            <x v="1"/>
          </reference>
        </references>
      </pivotArea>
    </chartFormat>
    <chartFormat chart="8" format="25">
      <pivotArea type="data" outline="0" fieldPosition="0">
        <references count="2">
          <reference field="4294967294" count="1" selected="0">
            <x v="0"/>
          </reference>
          <reference field="0" count="1" selected="0">
            <x v="2"/>
          </reference>
        </references>
      </pivotArea>
    </chartFormat>
    <chartFormat chart="8" format="26">
      <pivotArea type="data" outline="0" fieldPosition="0">
        <references count="2">
          <reference field="4294967294" count="1" selected="0">
            <x v="0"/>
          </reference>
          <reference field="0" count="1" selected="0">
            <x v="3"/>
          </reference>
        </references>
      </pivotArea>
    </chartFormat>
    <chartFormat chart="8" format="27">
      <pivotArea type="data" outline="0" fieldPosition="0">
        <references count="2">
          <reference field="4294967294" count="1" selected="0">
            <x v="0"/>
          </reference>
          <reference field="0" count="1" selected="0">
            <x v="4"/>
          </reference>
        </references>
      </pivotArea>
    </chartFormat>
    <chartFormat chart="8" format="28">
      <pivotArea type="data" outline="0" fieldPosition="0">
        <references count="2">
          <reference field="4294967294" count="1" selected="0">
            <x v="0"/>
          </reference>
          <reference field="0" count="1" selected="0">
            <x v="5"/>
          </reference>
        </references>
      </pivotArea>
    </chartFormat>
    <chartFormat chart="8" format="29">
      <pivotArea type="data" outline="0" fieldPosition="0">
        <references count="2">
          <reference field="4294967294" count="1" selected="0">
            <x v="0"/>
          </reference>
          <reference field="0" count="1" selected="0">
            <x v="6"/>
          </reference>
        </references>
      </pivotArea>
    </chartFormat>
    <chartFormat chart="8" format="30">
      <pivotArea type="data" outline="0" fieldPosition="0">
        <references count="2">
          <reference field="4294967294" count="1" selected="0">
            <x v="0"/>
          </reference>
          <reference field="0" count="1" selected="0">
            <x v="7"/>
          </reference>
        </references>
      </pivotArea>
    </chartFormat>
    <chartFormat chart="8" format="31">
      <pivotArea type="data" outline="0" fieldPosition="0">
        <references count="2">
          <reference field="4294967294" count="1" selected="0">
            <x v="0"/>
          </reference>
          <reference field="0" count="1" selected="0">
            <x v="8"/>
          </reference>
        </references>
      </pivotArea>
    </chartFormat>
    <chartFormat chart="8" format="32">
      <pivotArea type="data" outline="0" fieldPosition="0">
        <references count="2">
          <reference field="4294967294" count="1" selected="0">
            <x v="0"/>
          </reference>
          <reference field="0" count="1" selected="0">
            <x v="9"/>
          </reference>
        </references>
      </pivotArea>
    </chartFormat>
  </chartFormats>
  <pivotHierarchies count="1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6B7819-AC45-429C-9181-CE09244AE02C}" name="PivotTable2" cacheId="235" applyNumberFormats="0" applyBorderFormats="0" applyFontFormats="0" applyPatternFormats="0" applyAlignmentFormats="0" applyWidthHeightFormats="1" dataCaption="Values" tag="1c68b00a-4a2a-4225-9107-acd20c3db7d1" updatedVersion="8" minRefreshableVersion="3" useAutoFormatting="1" subtotalHiddenItems="1" itemPrintTitles="1" createdVersion="5" indent="0" outline="1" outlineData="1" multipleFieldFilters="0" chartFormat="8">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7" format="4"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0EABC7-7118-4153-9CA8-19B0388F5CB5}" name="PivotTable8" cacheId="229" applyNumberFormats="0" applyBorderFormats="0" applyFontFormats="0" applyPatternFormats="0" applyAlignmentFormats="0" applyWidthHeightFormats="1" dataCaption="Values" tag="e1435e4b-b7fe-441d-9124-46cd8ae271d8" updatedVersion="8" minRefreshableVersion="3" useAutoFormatting="1" subtotalHiddenItems="1" itemPrintTitles="1" createdVersion="5" indent="0" outline="1" outlineData="1" multipleFieldFilters="0" chartFormat="6">
  <location ref="E2:F13"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E2DC59-6A28-468B-95D0-9AEB84B2D917}" name="PivotTable7" cacheId="226" applyNumberFormats="0" applyBorderFormats="0" applyFontFormats="0" applyPatternFormats="0" applyAlignmentFormats="0" applyWidthHeightFormats="1" dataCaption="Values" tag="4d7b9fbd-3a47-4f39-84ec-9c3dacfba757" updatedVersion="8" minRefreshableVersion="3" useAutoFormatting="1" subtotalHiddenItems="1" itemPrintTitles="1" createdVersion="5" indent="0" outline="1" outlineData="1" multipleFieldFilters="0" chartFormat="15">
  <location ref="B2:C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47"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0EE2F6-178A-41A4-99D5-C777648B9DD2}" name="PivotTable9" cacheId="232" applyNumberFormats="0" applyBorderFormats="0" applyFontFormats="0" applyPatternFormats="0" applyAlignmentFormats="0" applyWidthHeightFormats="1" dataCaption="Values" tag="7909cd75-de16-4fe8-b621-7c45e406fc25" updatedVersion="8" minRefreshableVersion="3" useAutoFormatting="1" subtotalHiddenItems="1" itemPrintTitles="1" createdVersion="5" indent="0" outline="1" outlineData="1" multipleFieldFilters="0" chartFormat="2">
  <location ref="H2:I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5C646CD-CC3E-4E57-AFA8-E08FDA4E924D}" autoFormatId="16" applyNumberFormats="0" applyBorderFormats="0" applyFontFormats="0" applyPatternFormats="0" applyAlignmentFormats="0" applyWidthHeightFormats="0">
  <queryTableRefresh nextId="12">
    <queryTableFields count="11">
      <queryTableField id="1" name="Order Date" tableColumnId="1"/>
      <queryTableField id="2" name="Region" tableColumnId="2"/>
      <queryTableField id="3" name="Customer" tableColumnId="3"/>
      <queryTableField id="4" name="Product" tableColumnId="4"/>
      <queryTableField id="5" name="Quantity" tableColumnId="5"/>
      <queryTableField id="6" name="Unit Price" tableColumnId="6"/>
      <queryTableField id="7" name="Sales Amount" tableColumnId="7"/>
      <queryTableField id="8" name="Order Date (Year)" tableColumnId="8"/>
      <queryTableField id="9" name="Order Date (Quarter)" tableColumnId="9"/>
      <queryTableField id="10" name="Order Date (Month Index)" tableColumnId="10"/>
      <queryTableField id="11" name="Order Date (Month)" tableColumnId="11"/>
    </queryTableFields>
  </queryTableRefresh>
  <extLst>
    <ext xmlns:x15="http://schemas.microsoft.com/office/spreadsheetml/2010/11/main" uri="{883FBD77-0823-4a55-B5E3-86C4891E6966}">
      <x15:queryTable sourceDataName="Query - Sales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EECBDC0-E747-48D7-B523-B37576050AE1}" sourceName="[Sales Data].[Product]">
  <pivotTables>
    <pivotTable tabId="5" name="PivotTable7"/>
    <pivotTable tabId="5" name="PivotTable8"/>
    <pivotTable tabId="5" name="PivotTable9"/>
    <pivotTable tabId="7" name="PivotTable2"/>
    <pivotTable tabId="6" name="PivotTable1"/>
    <pivotTable tabId="4" name="PivotTable2"/>
  </pivotTables>
  <data>
    <olap pivotCacheId="285432996">
      <levels count="2">
        <level uniqueName="[Sales Data].[Product].[(All)]" sourceCaption="(All)" count="0"/>
        <level uniqueName="[Sales Data].[Product].[Product]" sourceCaption="Product" count="10">
          <ranges>
            <range startItem="0">
              <i n="[Sales Data].[Product].&amp;[Desk Chair]" c="Desk Chair"/>
              <i n="[Sales Data].[Product].&amp;[External Ssd]" c="External Ssd"/>
              <i n="[Sales Data].[Product].&amp;[Headset]" c="Headset"/>
              <i n="[Sales Data].[Product].&amp;[Keyboard]" c="Keyboard"/>
              <i n="[Sales Data].[Product].&amp;[Laptop]" c="Laptop"/>
              <i n="[Sales Data].[Product].&amp;[Monitor]" c="Monitor"/>
              <i n="[Sales Data].[Product].&amp;[Mouse]" c="Mouse"/>
              <i n="[Sales Data].[Product].&amp;[Printer]" c="Printer"/>
              <i n="[Sales Data].[Product].&amp;[Usb Hub]" c="Usb Hub"/>
              <i n="[Sales Data].[Product].&amp;[Webcam]" c="Webcam"/>
            </range>
          </ranges>
        </level>
      </levels>
      <selections count="1">
        <selection n="[Sales Data].[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8BCEBFB0-EFB4-42C0-A743-C983C4D6CAC9}" sourceName="[Sales Data].[Order Date (Month)]">
  <pivotTables>
    <pivotTable tabId="5" name="PivotTable7"/>
    <pivotTable tabId="5" name="PivotTable8"/>
    <pivotTable tabId="5" name="PivotTable9"/>
    <pivotTable tabId="7" name="PivotTable2"/>
    <pivotTable tabId="6" name="PivotTable1"/>
    <pivotTable tabId="4" name="PivotTable2"/>
  </pivotTables>
  <data>
    <olap pivotCacheId="285432996">
      <levels count="2">
        <level uniqueName="[Sales Data].[Order Date (Month)].[(All)]" sourceCaption="(All)" count="0"/>
        <level uniqueName="[Sales Data].[Order Date (Month)].[Order Date (Month)]" sourceCaption="Order Date (Month)" count="12">
          <ranges>
            <range startItem="0">
              <i n="[Sales Data].[Order Date (Month)].&amp;[Jan]" c="Jan"/>
              <i n="[Sales Data].[Order Date (Month)].&amp;[Feb]" c="Feb"/>
              <i n="[Sales Data].[Order Date (Month)].&amp;[Mar]" c="Mar"/>
              <i n="[Sales Data].[Order Date (Month)].&amp;[Apr]" c="Apr"/>
              <i n="[Sales Data].[Order Date (Month)].&amp;[May]" c="May"/>
              <i n="[Sales Data].[Order Date (Month)].&amp;[Jun]" c="Jun"/>
              <i n="[Sales Data].[Order Date (Month)].&amp;[Jul]" c="Jul"/>
              <i n="[Sales Data].[Order Date (Month)].&amp;[Aug]" c="Aug"/>
              <i n="[Sales Data].[Order Date (Month)].&amp;[Sep]" c="Sep"/>
              <i n="[Sales Data].[Order Date (Month)].&amp;[Oct]" c="Oct"/>
              <i n="[Sales Data].[Order Date (Month)].&amp;[Nov]" c="Nov"/>
              <i n="[Sales Data].[Order Date (Month)].&amp;[Dec]" c="Dec"/>
            </range>
          </ranges>
        </level>
      </levels>
      <selections count="1">
        <selection n="[Sales Data].[Order 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3707D1-5875-4D18-BE0C-8AA1EA27EAD4}" sourceName="[Sales Data].[Region]">
  <pivotTables>
    <pivotTable tabId="5" name="PivotTable7"/>
    <pivotTable tabId="5" name="PivotTable8"/>
    <pivotTable tabId="7" name="PivotTable2"/>
    <pivotTable tabId="6" name="PivotTable1"/>
    <pivotTable tabId="4" name="PivotTable2"/>
    <pivotTable tabId="5" name="PivotTable9"/>
  </pivotTables>
  <data>
    <olap pivotCacheId="285432996">
      <levels count="2">
        <level uniqueName="[Sales Data].[Region].[(All)]" sourceCaption="(All)" count="0"/>
        <level uniqueName="[Sales Data].[Region].[Region]" sourceCaption="Region" count="5">
          <ranges>
            <range startItem="0">
              <i n="[Sales Data].[Region].&amp;[Central]" c="Central"/>
              <i n="[Sales Data].[Region].&amp;[East]" c="East"/>
              <i n="[Sales Data].[Region].&amp;[North]" c="North"/>
              <i n="[Sales Data].[Region].&amp;[South]" c="South"/>
              <i n="[Sales Data].[Region].&amp;[West]" c="West"/>
            </range>
          </ranges>
        </level>
      </levels>
      <selections count="1">
        <selection n="[Sales 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BFDDA3E-F24D-4C5B-851C-0E1DC668278C}" cache="Slicer_Product" caption="Product" level="1" rowHeight="241300"/>
  <slicer name="Order Date (Month)" xr10:uid="{C8A9536D-801B-4ED9-B34E-D60E1A2D8772}" cache="Slicer_Order_Date__Month" caption="Order Date (Month)" level="1" rowHeight="241300"/>
  <slicer name="Region" xr10:uid="{20653A41-116C-46B5-8DFF-F871F6BCFAA8}"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D524143-0EB8-4285-B297-8019E4AF01BD}" cache="Slicer_Product" caption="Product" startItem="3" level="1" rowHeight="241300"/>
  <slicer name="Order Date (Month) 1" xr10:uid="{11613AB1-140F-44C3-8CB9-87E13DA51E5A}" cache="Slicer_Order_Date__Month" caption="Month" level="1" rowHeight="241300"/>
  <slicer name="Region 1" xr10:uid="{EE60E3E9-A280-4A37-8B9D-74C2636C9249}" cache="Slicer_Region" caption="Region"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013A00-34A2-4E03-BA1B-63955A32569C}" name="Table1" displayName="Table1" ref="A1:G201" totalsRowShown="0" headerRowDxfId="15" headerRowBorderDxfId="14" tableBorderDxfId="13" totalsRowBorderDxfId="12">
  <autoFilter ref="A1:G201" xr:uid="{B4013A00-34A2-4E03-BA1B-63955A32569C}"/>
  <tableColumns count="7">
    <tableColumn id="1" xr3:uid="{47A4EEAD-4F76-4D92-AEC8-8F486CDC1C4B}" name="Order Date" dataDxfId="11"/>
    <tableColumn id="2" xr3:uid="{99A2A00C-3635-4A1B-AA1E-019215C39E9D}" name="Region" dataDxfId="10"/>
    <tableColumn id="3" xr3:uid="{29686482-EA64-41D5-8FF1-9751D81DBC59}" name="Customer" dataDxfId="9"/>
    <tableColumn id="4" xr3:uid="{B2772788-2EF1-4F47-9983-7A599E0785F2}" name="Product" dataDxfId="8"/>
    <tableColumn id="5" xr3:uid="{7C8BFB75-761E-4E09-9FAE-247BCA77C63B}" name="Quantity" dataDxfId="7"/>
    <tableColumn id="6" xr3:uid="{95EC4CB8-9CE2-4F83-AE5F-87FEBA26BFFA}" name="Unit Price" dataDxfId="6"/>
    <tableColumn id="7" xr3:uid="{720BCABE-8A5B-4760-8F57-1CAEE2CA3654}" name="Sales Amount" dataDxfId="5">
      <calculatedColumnFormula>Table1[[#This Row],[Quantity]]*Table1[[#This Row],[Unit 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8C97C5-458C-4D91-B1EF-76BAF08AC058}" name="Sales_Data" displayName="Sales_Data" ref="A1:K201" tableType="queryTable" totalsRowShown="0" headerRowDxfId="0">
  <autoFilter ref="A1:K201" xr:uid="{B68C97C5-458C-4D91-B1EF-76BAF08AC058}"/>
  <tableColumns count="11">
    <tableColumn id="1" xr3:uid="{C1ADA025-5867-48FA-A551-E3A657CF9867}" uniqueName="1" name="Order Date" queryTableFieldId="1" dataDxfId="1"/>
    <tableColumn id="2" xr3:uid="{BC15CF1D-96E1-4A18-8174-95997EFCED7F}" uniqueName="2" name="Region" queryTableFieldId="2" dataDxfId="4"/>
    <tableColumn id="3" xr3:uid="{56764CF0-4429-4A8B-8B1A-48459A29D110}" uniqueName="3" name="Customer" queryTableFieldId="3" dataDxfId="3"/>
    <tableColumn id="4" xr3:uid="{8DC57991-5758-44B3-9905-5DDECFF0B150}" uniqueName="4" name="Product" queryTableFieldId="4" dataDxfId="2"/>
    <tableColumn id="5" xr3:uid="{E3DA3898-48EA-410E-8B55-82F1D442FE05}" uniqueName="5" name="Quantity" queryTableFieldId="5"/>
    <tableColumn id="6" xr3:uid="{578998F0-099F-429F-9564-6B6C5EA19D60}" uniqueName="6" name="Unit Price" queryTableFieldId="6"/>
    <tableColumn id="7" xr3:uid="{3AC246C4-AEA9-4D03-A4F0-E10AC18B1CA6}" uniqueName="7" name="Sales Amount" queryTableFieldId="7"/>
    <tableColumn id="8" xr3:uid="{6B87012E-DEA6-4572-8B02-A8F1D38C13BC}" uniqueName="8" name="Order Date (Year)" queryTableFieldId="8"/>
    <tableColumn id="9" xr3:uid="{7913DA27-5D07-4BBD-AF0D-BF27091D08C7}" uniqueName="9" name="Order Date (Quarter)" queryTableFieldId="9"/>
    <tableColumn id="10" xr3:uid="{EE6EFCA4-B36A-4106-BCF7-6D54E70FDD0C}" uniqueName="10" name="Order Date (Month Index)" queryTableFieldId="10"/>
    <tableColumn id="11" xr3:uid="{87DE5998-C36D-4BD0-8A0D-CD880888AE52}" uniqueName="11" name="Order Date (Month)"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opLeftCell="A180" workbookViewId="0">
      <selection activeCell="H16" sqref="H16"/>
    </sheetView>
  </sheetViews>
  <sheetFormatPr defaultRowHeight="14.5" x14ac:dyDescent="0.35"/>
  <cols>
    <col min="1" max="1" width="12.90625" customWidth="1"/>
    <col min="2" max="2" width="14.81640625" customWidth="1"/>
    <col min="3" max="3" width="15.453125" customWidth="1"/>
    <col min="4" max="4" width="13.81640625" customWidth="1"/>
    <col min="5" max="5" width="10.54296875" customWidth="1"/>
    <col min="6" max="6" width="13.6328125" customWidth="1"/>
    <col min="7" max="7" width="19" customWidth="1"/>
  </cols>
  <sheetData>
    <row r="1" spans="1:7" x14ac:dyDescent="0.35">
      <c r="A1" s="7" t="s">
        <v>0</v>
      </c>
      <c r="B1" s="8" t="s">
        <v>1</v>
      </c>
      <c r="C1" s="8" t="s">
        <v>2</v>
      </c>
      <c r="D1" s="8" t="s">
        <v>3</v>
      </c>
      <c r="E1" s="8" t="s">
        <v>4</v>
      </c>
      <c r="F1" s="8" t="s">
        <v>5</v>
      </c>
      <c r="G1" s="9" t="s">
        <v>6</v>
      </c>
    </row>
    <row r="2" spans="1:7" x14ac:dyDescent="0.35">
      <c r="A2" s="5" t="s">
        <v>7</v>
      </c>
      <c r="B2" s="2" t="s">
        <v>8</v>
      </c>
      <c r="C2" s="2" t="s">
        <v>9</v>
      </c>
      <c r="D2" s="2" t="s">
        <v>10</v>
      </c>
      <c r="E2" s="1">
        <v>8</v>
      </c>
      <c r="F2" s="13">
        <v>121.86</v>
      </c>
      <c r="G2" s="14">
        <f>Table1[[#This Row],[Quantity]]*Table1[[#This Row],[Unit Price]]</f>
        <v>974.88</v>
      </c>
    </row>
    <row r="3" spans="1:7" x14ac:dyDescent="0.35">
      <c r="A3" s="6" t="s">
        <v>11</v>
      </c>
      <c r="B3" s="4" t="s">
        <v>12</v>
      </c>
      <c r="C3" s="4" t="s">
        <v>13</v>
      </c>
      <c r="D3" s="4" t="s">
        <v>14</v>
      </c>
      <c r="E3" s="3">
        <v>14</v>
      </c>
      <c r="F3" s="13">
        <v>107.86</v>
      </c>
      <c r="G3" s="14">
        <f>Table1[[#This Row],[Quantity]]*Table1[[#This Row],[Unit Price]]</f>
        <v>1510.04</v>
      </c>
    </row>
    <row r="4" spans="1:7" x14ac:dyDescent="0.35">
      <c r="A4" s="5" t="s">
        <v>15</v>
      </c>
      <c r="B4" s="2" t="s">
        <v>16</v>
      </c>
      <c r="C4" s="2" t="s">
        <v>17</v>
      </c>
      <c r="D4" s="2" t="s">
        <v>18</v>
      </c>
      <c r="E4" s="1">
        <v>20</v>
      </c>
      <c r="F4" s="13">
        <v>180.16</v>
      </c>
      <c r="G4" s="14">
        <f>Table1[[#This Row],[Quantity]]*Table1[[#This Row],[Unit Price]]</f>
        <v>3603.2</v>
      </c>
    </row>
    <row r="5" spans="1:7" x14ac:dyDescent="0.35">
      <c r="A5" s="6" t="s">
        <v>19</v>
      </c>
      <c r="B5" s="4" t="s">
        <v>12</v>
      </c>
      <c r="C5" s="4" t="s">
        <v>20</v>
      </c>
      <c r="D5" s="4" t="s">
        <v>21</v>
      </c>
      <c r="E5" s="3">
        <v>15</v>
      </c>
      <c r="F5" s="13">
        <v>39.700000000000003</v>
      </c>
      <c r="G5" s="14">
        <f>Table1[[#This Row],[Quantity]]*Table1[[#This Row],[Unit Price]]</f>
        <v>595.5</v>
      </c>
    </row>
    <row r="6" spans="1:7" x14ac:dyDescent="0.35">
      <c r="A6" s="5" t="s">
        <v>22</v>
      </c>
      <c r="B6" s="2" t="s">
        <v>16</v>
      </c>
      <c r="C6" s="2" t="s">
        <v>20</v>
      </c>
      <c r="D6" s="2" t="s">
        <v>23</v>
      </c>
      <c r="E6" s="1">
        <v>9</v>
      </c>
      <c r="F6" s="13">
        <v>82.87</v>
      </c>
      <c r="G6" s="14">
        <f>Table1[[#This Row],[Quantity]]*Table1[[#This Row],[Unit Price]]</f>
        <v>745.83</v>
      </c>
    </row>
    <row r="7" spans="1:7" x14ac:dyDescent="0.35">
      <c r="A7" s="6" t="s">
        <v>24</v>
      </c>
      <c r="B7" s="4" t="s">
        <v>8</v>
      </c>
      <c r="C7" s="4" t="s">
        <v>13</v>
      </c>
      <c r="D7" s="4" t="s">
        <v>25</v>
      </c>
      <c r="E7" s="3">
        <v>4</v>
      </c>
      <c r="F7" s="13">
        <v>290.57</v>
      </c>
      <c r="G7" s="14">
        <f>Table1[[#This Row],[Quantity]]*Table1[[#This Row],[Unit Price]]</f>
        <v>1162.28</v>
      </c>
    </row>
    <row r="8" spans="1:7" x14ac:dyDescent="0.35">
      <c r="A8" s="5" t="s">
        <v>26</v>
      </c>
      <c r="B8" s="2" t="s">
        <v>12</v>
      </c>
      <c r="C8" s="2" t="s">
        <v>27</v>
      </c>
      <c r="D8" s="2" t="s">
        <v>28</v>
      </c>
      <c r="E8" s="1">
        <v>15</v>
      </c>
      <c r="F8" s="13">
        <v>1006.24</v>
      </c>
      <c r="G8" s="14">
        <f>Table1[[#This Row],[Quantity]]*Table1[[#This Row],[Unit Price]]</f>
        <v>15093.6</v>
      </c>
    </row>
    <row r="9" spans="1:7" x14ac:dyDescent="0.35">
      <c r="A9" s="6" t="s">
        <v>29</v>
      </c>
      <c r="B9" s="4" t="s">
        <v>8</v>
      </c>
      <c r="C9" s="4" t="s">
        <v>30</v>
      </c>
      <c r="D9" s="4" t="s">
        <v>10</v>
      </c>
      <c r="E9" s="3">
        <v>20</v>
      </c>
      <c r="F9" s="13">
        <v>138.94</v>
      </c>
      <c r="G9" s="14">
        <f>Table1[[#This Row],[Quantity]]*Table1[[#This Row],[Unit Price]]</f>
        <v>2778.8</v>
      </c>
    </row>
    <row r="10" spans="1:7" x14ac:dyDescent="0.35">
      <c r="A10" s="5" t="s">
        <v>31</v>
      </c>
      <c r="B10" s="2" t="s">
        <v>12</v>
      </c>
      <c r="C10" s="2" t="s">
        <v>17</v>
      </c>
      <c r="D10" s="2" t="s">
        <v>32</v>
      </c>
      <c r="E10" s="1">
        <v>2</v>
      </c>
      <c r="F10" s="13">
        <v>360.26</v>
      </c>
      <c r="G10" s="14">
        <f>Table1[[#This Row],[Quantity]]*Table1[[#This Row],[Unit Price]]</f>
        <v>720.52</v>
      </c>
    </row>
    <row r="11" spans="1:7" x14ac:dyDescent="0.35">
      <c r="A11" s="6" t="s">
        <v>33</v>
      </c>
      <c r="B11" s="4" t="s">
        <v>8</v>
      </c>
      <c r="C11" s="4" t="s">
        <v>17</v>
      </c>
      <c r="D11" s="4" t="s">
        <v>32</v>
      </c>
      <c r="E11" s="3">
        <v>13</v>
      </c>
      <c r="F11" s="13">
        <v>333.5</v>
      </c>
      <c r="G11" s="14">
        <f>Table1[[#This Row],[Quantity]]*Table1[[#This Row],[Unit Price]]</f>
        <v>4335.5</v>
      </c>
    </row>
    <row r="12" spans="1:7" x14ac:dyDescent="0.35">
      <c r="A12" s="5" t="s">
        <v>34</v>
      </c>
      <c r="B12" s="2" t="s">
        <v>35</v>
      </c>
      <c r="C12" s="2" t="s">
        <v>36</v>
      </c>
      <c r="D12" s="2" t="s">
        <v>23</v>
      </c>
      <c r="E12" s="1">
        <v>12</v>
      </c>
      <c r="F12" s="13">
        <v>83.83</v>
      </c>
      <c r="G12" s="14">
        <f>Table1[[#This Row],[Quantity]]*Table1[[#This Row],[Unit Price]]</f>
        <v>1005.96</v>
      </c>
    </row>
    <row r="13" spans="1:7" x14ac:dyDescent="0.35">
      <c r="A13" s="6" t="s">
        <v>37</v>
      </c>
      <c r="B13" s="4" t="s">
        <v>8</v>
      </c>
      <c r="C13" s="4" t="s">
        <v>38</v>
      </c>
      <c r="D13" s="4" t="s">
        <v>39</v>
      </c>
      <c r="E13" s="3">
        <v>18</v>
      </c>
      <c r="F13" s="13">
        <v>82.62</v>
      </c>
      <c r="G13" s="14">
        <f>Table1[[#This Row],[Quantity]]*Table1[[#This Row],[Unit Price]]</f>
        <v>1487.16</v>
      </c>
    </row>
    <row r="14" spans="1:7" x14ac:dyDescent="0.35">
      <c r="A14" s="5" t="s">
        <v>40</v>
      </c>
      <c r="B14" s="2" t="s">
        <v>41</v>
      </c>
      <c r="C14" s="2" t="s">
        <v>20</v>
      </c>
      <c r="D14" s="2" t="s">
        <v>10</v>
      </c>
      <c r="E14" s="1">
        <v>18</v>
      </c>
      <c r="F14" s="13">
        <v>121.77</v>
      </c>
      <c r="G14" s="14">
        <f>Table1[[#This Row],[Quantity]]*Table1[[#This Row],[Unit Price]]</f>
        <v>2191.86</v>
      </c>
    </row>
    <row r="15" spans="1:7" x14ac:dyDescent="0.35">
      <c r="A15" s="6" t="s">
        <v>42</v>
      </c>
      <c r="B15" s="4" t="s">
        <v>8</v>
      </c>
      <c r="C15" s="4" t="s">
        <v>17</v>
      </c>
      <c r="D15" s="4" t="s">
        <v>28</v>
      </c>
      <c r="E15" s="3">
        <v>11</v>
      </c>
      <c r="F15" s="13">
        <v>979.25</v>
      </c>
      <c r="G15" s="14">
        <f>Table1[[#This Row],[Quantity]]*Table1[[#This Row],[Unit Price]]</f>
        <v>10771.75</v>
      </c>
    </row>
    <row r="16" spans="1:7" x14ac:dyDescent="0.35">
      <c r="A16" s="5" t="s">
        <v>43</v>
      </c>
      <c r="B16" s="2" t="s">
        <v>16</v>
      </c>
      <c r="C16" s="2" t="s">
        <v>38</v>
      </c>
      <c r="D16" s="2" t="s">
        <v>23</v>
      </c>
      <c r="E16" s="1">
        <v>7</v>
      </c>
      <c r="F16" s="13">
        <v>91.77</v>
      </c>
      <c r="G16" s="14">
        <f>Table1[[#This Row],[Quantity]]*Table1[[#This Row],[Unit Price]]</f>
        <v>642.39</v>
      </c>
    </row>
    <row r="17" spans="1:7" x14ac:dyDescent="0.35">
      <c r="A17" s="6" t="s">
        <v>44</v>
      </c>
      <c r="B17" s="4" t="s">
        <v>41</v>
      </c>
      <c r="C17" s="4" t="s">
        <v>36</v>
      </c>
      <c r="D17" s="4" t="s">
        <v>10</v>
      </c>
      <c r="E17" s="3">
        <v>5</v>
      </c>
      <c r="F17" s="13">
        <v>122.46</v>
      </c>
      <c r="G17" s="14">
        <f>Table1[[#This Row],[Quantity]]*Table1[[#This Row],[Unit Price]]</f>
        <v>612.29999999999995</v>
      </c>
    </row>
    <row r="18" spans="1:7" x14ac:dyDescent="0.35">
      <c r="A18" s="5" t="s">
        <v>45</v>
      </c>
      <c r="B18" s="2" t="s">
        <v>12</v>
      </c>
      <c r="C18" s="2" t="s">
        <v>27</v>
      </c>
      <c r="D18" s="2" t="s">
        <v>14</v>
      </c>
      <c r="E18" s="1">
        <v>14</v>
      </c>
      <c r="F18" s="13">
        <v>128.47</v>
      </c>
      <c r="G18" s="14">
        <f>Table1[[#This Row],[Quantity]]*Table1[[#This Row],[Unit Price]]</f>
        <v>1798.58</v>
      </c>
    </row>
    <row r="19" spans="1:7" x14ac:dyDescent="0.35">
      <c r="A19" s="6" t="s">
        <v>46</v>
      </c>
      <c r="B19" s="4" t="s">
        <v>35</v>
      </c>
      <c r="C19" s="4" t="s">
        <v>17</v>
      </c>
      <c r="D19" s="4" t="s">
        <v>39</v>
      </c>
      <c r="E19" s="3">
        <v>17</v>
      </c>
      <c r="F19" s="13">
        <v>78.900000000000006</v>
      </c>
      <c r="G19" s="14">
        <f>Table1[[#This Row],[Quantity]]*Table1[[#This Row],[Unit Price]]</f>
        <v>1341.3000000000002</v>
      </c>
    </row>
    <row r="20" spans="1:7" x14ac:dyDescent="0.35">
      <c r="A20" s="5" t="s">
        <v>47</v>
      </c>
      <c r="B20" s="2" t="s">
        <v>8</v>
      </c>
      <c r="C20" s="2" t="s">
        <v>36</v>
      </c>
      <c r="D20" s="2" t="s">
        <v>39</v>
      </c>
      <c r="E20" s="1">
        <v>14</v>
      </c>
      <c r="F20" s="13">
        <v>80.52</v>
      </c>
      <c r="G20" s="14">
        <f>Table1[[#This Row],[Quantity]]*Table1[[#This Row],[Unit Price]]</f>
        <v>1127.28</v>
      </c>
    </row>
    <row r="21" spans="1:7" x14ac:dyDescent="0.35">
      <c r="A21" s="6" t="s">
        <v>48</v>
      </c>
      <c r="B21" s="4" t="s">
        <v>41</v>
      </c>
      <c r="C21" s="4" t="s">
        <v>38</v>
      </c>
      <c r="D21" s="4" t="s">
        <v>49</v>
      </c>
      <c r="E21" s="3">
        <v>17</v>
      </c>
      <c r="F21" s="13">
        <v>46.56</v>
      </c>
      <c r="G21" s="14">
        <f>Table1[[#This Row],[Quantity]]*Table1[[#This Row],[Unit Price]]</f>
        <v>791.52</v>
      </c>
    </row>
    <row r="22" spans="1:7" x14ac:dyDescent="0.35">
      <c r="A22" s="5" t="s">
        <v>50</v>
      </c>
      <c r="B22" s="2" t="s">
        <v>8</v>
      </c>
      <c r="C22" s="2" t="s">
        <v>13</v>
      </c>
      <c r="D22" s="2" t="s">
        <v>18</v>
      </c>
      <c r="E22" s="1">
        <v>9</v>
      </c>
      <c r="F22" s="13">
        <v>209.69</v>
      </c>
      <c r="G22" s="14">
        <f>Table1[[#This Row],[Quantity]]*Table1[[#This Row],[Unit Price]]</f>
        <v>1887.21</v>
      </c>
    </row>
    <row r="23" spans="1:7" x14ac:dyDescent="0.35">
      <c r="A23" s="6" t="s">
        <v>51</v>
      </c>
      <c r="B23" s="4" t="s">
        <v>8</v>
      </c>
      <c r="C23" s="4" t="s">
        <v>27</v>
      </c>
      <c r="D23" s="4" t="s">
        <v>25</v>
      </c>
      <c r="E23" s="3">
        <v>6</v>
      </c>
      <c r="F23" s="13">
        <v>296.23</v>
      </c>
      <c r="G23" s="14">
        <f>Table1[[#This Row],[Quantity]]*Table1[[#This Row],[Unit Price]]</f>
        <v>1777.38</v>
      </c>
    </row>
    <row r="24" spans="1:7" x14ac:dyDescent="0.35">
      <c r="A24" s="5" t="s">
        <v>52</v>
      </c>
      <c r="B24" s="2" t="s">
        <v>12</v>
      </c>
      <c r="C24" s="2" t="s">
        <v>36</v>
      </c>
      <c r="D24" s="2" t="s">
        <v>18</v>
      </c>
      <c r="E24" s="1">
        <v>4</v>
      </c>
      <c r="F24" s="13">
        <v>213.75</v>
      </c>
      <c r="G24" s="14">
        <f>Table1[[#This Row],[Quantity]]*Table1[[#This Row],[Unit Price]]</f>
        <v>855</v>
      </c>
    </row>
    <row r="25" spans="1:7" x14ac:dyDescent="0.35">
      <c r="A25" s="6" t="s">
        <v>53</v>
      </c>
      <c r="B25" s="4" t="s">
        <v>12</v>
      </c>
      <c r="C25" s="4" t="s">
        <v>38</v>
      </c>
      <c r="D25" s="4" t="s">
        <v>21</v>
      </c>
      <c r="E25" s="3">
        <v>5</v>
      </c>
      <c r="F25" s="13">
        <v>38.020000000000003</v>
      </c>
      <c r="G25" s="14">
        <f>Table1[[#This Row],[Quantity]]*Table1[[#This Row],[Unit Price]]</f>
        <v>190.10000000000002</v>
      </c>
    </row>
    <row r="26" spans="1:7" x14ac:dyDescent="0.35">
      <c r="A26" s="5" t="s">
        <v>54</v>
      </c>
      <c r="B26" s="2" t="s">
        <v>12</v>
      </c>
      <c r="C26" s="2" t="s">
        <v>30</v>
      </c>
      <c r="D26" s="2" t="s">
        <v>28</v>
      </c>
      <c r="E26" s="1">
        <v>20</v>
      </c>
      <c r="F26" s="13">
        <v>963.87</v>
      </c>
      <c r="G26" s="14">
        <f>Table1[[#This Row],[Quantity]]*Table1[[#This Row],[Unit Price]]</f>
        <v>19277.400000000001</v>
      </c>
    </row>
    <row r="27" spans="1:7" x14ac:dyDescent="0.35">
      <c r="A27" s="6" t="s">
        <v>55</v>
      </c>
      <c r="B27" s="4" t="s">
        <v>8</v>
      </c>
      <c r="C27" s="4" t="s">
        <v>56</v>
      </c>
      <c r="D27" s="4" t="s">
        <v>10</v>
      </c>
      <c r="E27" s="3">
        <v>8</v>
      </c>
      <c r="F27" s="13">
        <v>117.59</v>
      </c>
      <c r="G27" s="14">
        <f>Table1[[#This Row],[Quantity]]*Table1[[#This Row],[Unit Price]]</f>
        <v>940.72</v>
      </c>
    </row>
    <row r="28" spans="1:7" x14ac:dyDescent="0.35">
      <c r="A28" s="5" t="s">
        <v>57</v>
      </c>
      <c r="B28" s="2" t="s">
        <v>8</v>
      </c>
      <c r="C28" s="2" t="s">
        <v>13</v>
      </c>
      <c r="D28" s="2" t="s">
        <v>49</v>
      </c>
      <c r="E28" s="1">
        <v>3</v>
      </c>
      <c r="F28" s="13">
        <v>53.68</v>
      </c>
      <c r="G28" s="14">
        <f>Table1[[#This Row],[Quantity]]*Table1[[#This Row],[Unit Price]]</f>
        <v>161.04</v>
      </c>
    </row>
    <row r="29" spans="1:7" x14ac:dyDescent="0.35">
      <c r="A29" s="6" t="s">
        <v>58</v>
      </c>
      <c r="B29" s="4" t="s">
        <v>16</v>
      </c>
      <c r="C29" s="4" t="s">
        <v>36</v>
      </c>
      <c r="D29" s="4" t="s">
        <v>49</v>
      </c>
      <c r="E29" s="3">
        <v>18</v>
      </c>
      <c r="F29" s="13">
        <v>45.72</v>
      </c>
      <c r="G29" s="14">
        <f>Table1[[#This Row],[Quantity]]*Table1[[#This Row],[Unit Price]]</f>
        <v>822.96</v>
      </c>
    </row>
    <row r="30" spans="1:7" x14ac:dyDescent="0.35">
      <c r="A30" s="5" t="s">
        <v>59</v>
      </c>
      <c r="B30" s="2" t="s">
        <v>12</v>
      </c>
      <c r="C30" s="2" t="s">
        <v>20</v>
      </c>
      <c r="D30" s="2" t="s">
        <v>21</v>
      </c>
      <c r="E30" s="1">
        <v>18</v>
      </c>
      <c r="F30" s="13">
        <v>40.99</v>
      </c>
      <c r="G30" s="14">
        <f>Table1[[#This Row],[Quantity]]*Table1[[#This Row],[Unit Price]]</f>
        <v>737.82</v>
      </c>
    </row>
    <row r="31" spans="1:7" x14ac:dyDescent="0.35">
      <c r="A31" s="6" t="s">
        <v>60</v>
      </c>
      <c r="B31" s="4" t="s">
        <v>16</v>
      </c>
      <c r="C31" s="4" t="s">
        <v>27</v>
      </c>
      <c r="D31" s="4" t="s">
        <v>25</v>
      </c>
      <c r="E31" s="3">
        <v>12</v>
      </c>
      <c r="F31" s="13">
        <v>295.3</v>
      </c>
      <c r="G31" s="14">
        <f>Table1[[#This Row],[Quantity]]*Table1[[#This Row],[Unit Price]]</f>
        <v>3543.6000000000004</v>
      </c>
    </row>
    <row r="32" spans="1:7" x14ac:dyDescent="0.35">
      <c r="A32" s="5" t="s">
        <v>61</v>
      </c>
      <c r="B32" s="2" t="s">
        <v>41</v>
      </c>
      <c r="C32" s="2" t="s">
        <v>13</v>
      </c>
      <c r="D32" s="2" t="s">
        <v>21</v>
      </c>
      <c r="E32" s="1">
        <v>8</v>
      </c>
      <c r="F32" s="13">
        <v>35.6</v>
      </c>
      <c r="G32" s="14">
        <f>Table1[[#This Row],[Quantity]]*Table1[[#This Row],[Unit Price]]</f>
        <v>284.8</v>
      </c>
    </row>
    <row r="33" spans="1:7" x14ac:dyDescent="0.35">
      <c r="A33" s="6" t="s">
        <v>62</v>
      </c>
      <c r="B33" s="4" t="s">
        <v>12</v>
      </c>
      <c r="C33" s="4" t="s">
        <v>30</v>
      </c>
      <c r="D33" s="4" t="s">
        <v>21</v>
      </c>
      <c r="E33" s="3">
        <v>19</v>
      </c>
      <c r="F33" s="13">
        <v>36.82</v>
      </c>
      <c r="G33" s="14">
        <f>Table1[[#This Row],[Quantity]]*Table1[[#This Row],[Unit Price]]</f>
        <v>699.58</v>
      </c>
    </row>
    <row r="34" spans="1:7" x14ac:dyDescent="0.35">
      <c r="A34" s="5" t="s">
        <v>63</v>
      </c>
      <c r="B34" s="2" t="s">
        <v>8</v>
      </c>
      <c r="C34" s="2" t="s">
        <v>17</v>
      </c>
      <c r="D34" s="2" t="s">
        <v>32</v>
      </c>
      <c r="E34" s="1">
        <v>2</v>
      </c>
      <c r="F34" s="13">
        <v>374.1</v>
      </c>
      <c r="G34" s="14">
        <f>Table1[[#This Row],[Quantity]]*Table1[[#This Row],[Unit Price]]</f>
        <v>748.2</v>
      </c>
    </row>
    <row r="35" spans="1:7" x14ac:dyDescent="0.35">
      <c r="A35" s="6" t="s">
        <v>63</v>
      </c>
      <c r="B35" s="4" t="s">
        <v>12</v>
      </c>
      <c r="C35" s="4" t="s">
        <v>17</v>
      </c>
      <c r="D35" s="4" t="s">
        <v>10</v>
      </c>
      <c r="E35" s="3">
        <v>16</v>
      </c>
      <c r="F35" s="13">
        <v>121.63</v>
      </c>
      <c r="G35" s="14">
        <f>Table1[[#This Row],[Quantity]]*Table1[[#This Row],[Unit Price]]</f>
        <v>1946.08</v>
      </c>
    </row>
    <row r="36" spans="1:7" x14ac:dyDescent="0.35">
      <c r="A36" s="5" t="s">
        <v>64</v>
      </c>
      <c r="B36" s="2" t="s">
        <v>12</v>
      </c>
      <c r="C36" s="2" t="s">
        <v>38</v>
      </c>
      <c r="D36" s="2" t="s">
        <v>49</v>
      </c>
      <c r="E36" s="1">
        <v>8</v>
      </c>
      <c r="F36" s="13">
        <v>51.79</v>
      </c>
      <c r="G36" s="14">
        <f>Table1[[#This Row],[Quantity]]*Table1[[#This Row],[Unit Price]]</f>
        <v>414.32</v>
      </c>
    </row>
    <row r="37" spans="1:7" x14ac:dyDescent="0.35">
      <c r="A37" s="6" t="s">
        <v>65</v>
      </c>
      <c r="B37" s="4" t="s">
        <v>16</v>
      </c>
      <c r="C37" s="4" t="s">
        <v>13</v>
      </c>
      <c r="D37" s="4" t="s">
        <v>32</v>
      </c>
      <c r="E37" s="3">
        <v>14</v>
      </c>
      <c r="F37" s="13">
        <v>338.83</v>
      </c>
      <c r="G37" s="14">
        <f>Table1[[#This Row],[Quantity]]*Table1[[#This Row],[Unit Price]]</f>
        <v>4743.62</v>
      </c>
    </row>
    <row r="38" spans="1:7" x14ac:dyDescent="0.35">
      <c r="A38" s="5" t="s">
        <v>66</v>
      </c>
      <c r="B38" s="2" t="s">
        <v>41</v>
      </c>
      <c r="C38" s="2" t="s">
        <v>9</v>
      </c>
      <c r="D38" s="2" t="s">
        <v>32</v>
      </c>
      <c r="E38" s="1">
        <v>2</v>
      </c>
      <c r="F38" s="13">
        <v>342.2</v>
      </c>
      <c r="G38" s="14">
        <f>Table1[[#This Row],[Quantity]]*Table1[[#This Row],[Unit Price]]</f>
        <v>684.4</v>
      </c>
    </row>
    <row r="39" spans="1:7" x14ac:dyDescent="0.35">
      <c r="A39" s="6" t="s">
        <v>67</v>
      </c>
      <c r="B39" s="4" t="s">
        <v>8</v>
      </c>
      <c r="C39" s="4" t="s">
        <v>17</v>
      </c>
      <c r="D39" s="4" t="s">
        <v>21</v>
      </c>
      <c r="E39" s="3">
        <v>7</v>
      </c>
      <c r="F39" s="13">
        <v>39.28</v>
      </c>
      <c r="G39" s="14">
        <f>Table1[[#This Row],[Quantity]]*Table1[[#This Row],[Unit Price]]</f>
        <v>274.96000000000004</v>
      </c>
    </row>
    <row r="40" spans="1:7" x14ac:dyDescent="0.35">
      <c r="A40" s="5" t="s">
        <v>68</v>
      </c>
      <c r="B40" s="2" t="s">
        <v>41</v>
      </c>
      <c r="C40" s="2" t="s">
        <v>36</v>
      </c>
      <c r="D40" s="2" t="s">
        <v>10</v>
      </c>
      <c r="E40" s="1">
        <v>15</v>
      </c>
      <c r="F40" s="13">
        <v>122.55</v>
      </c>
      <c r="G40" s="14">
        <f>Table1[[#This Row],[Quantity]]*Table1[[#This Row],[Unit Price]]</f>
        <v>1838.25</v>
      </c>
    </row>
    <row r="41" spans="1:7" x14ac:dyDescent="0.35">
      <c r="A41" s="6" t="s">
        <v>69</v>
      </c>
      <c r="B41" s="4" t="s">
        <v>41</v>
      </c>
      <c r="C41" s="4" t="s">
        <v>30</v>
      </c>
      <c r="D41" s="4" t="s">
        <v>32</v>
      </c>
      <c r="E41" s="3">
        <v>2</v>
      </c>
      <c r="F41" s="13">
        <v>359.62</v>
      </c>
      <c r="G41" s="14">
        <f>Table1[[#This Row],[Quantity]]*Table1[[#This Row],[Unit Price]]</f>
        <v>719.24</v>
      </c>
    </row>
    <row r="42" spans="1:7" x14ac:dyDescent="0.35">
      <c r="A42" s="5" t="s">
        <v>70</v>
      </c>
      <c r="B42" s="2" t="s">
        <v>8</v>
      </c>
      <c r="C42" s="2" t="s">
        <v>13</v>
      </c>
      <c r="D42" s="2" t="s">
        <v>21</v>
      </c>
      <c r="E42" s="1">
        <v>6</v>
      </c>
      <c r="F42" s="13">
        <v>38.270000000000003</v>
      </c>
      <c r="G42" s="14">
        <f>Table1[[#This Row],[Quantity]]*Table1[[#This Row],[Unit Price]]</f>
        <v>229.62</v>
      </c>
    </row>
    <row r="43" spans="1:7" x14ac:dyDescent="0.35">
      <c r="A43" s="6" t="s">
        <v>71</v>
      </c>
      <c r="B43" s="4" t="s">
        <v>16</v>
      </c>
      <c r="C43" s="4" t="s">
        <v>20</v>
      </c>
      <c r="D43" s="4" t="s">
        <v>28</v>
      </c>
      <c r="E43" s="3">
        <v>6</v>
      </c>
      <c r="F43" s="13">
        <v>974.82</v>
      </c>
      <c r="G43" s="14">
        <f>Table1[[#This Row],[Quantity]]*Table1[[#This Row],[Unit Price]]</f>
        <v>5848.92</v>
      </c>
    </row>
    <row r="44" spans="1:7" x14ac:dyDescent="0.35">
      <c r="A44" s="5" t="s">
        <v>72</v>
      </c>
      <c r="B44" s="2" t="s">
        <v>35</v>
      </c>
      <c r="C44" s="2" t="s">
        <v>73</v>
      </c>
      <c r="D44" s="2" t="s">
        <v>10</v>
      </c>
      <c r="E44" s="1">
        <v>14</v>
      </c>
      <c r="F44" s="13">
        <v>134.07</v>
      </c>
      <c r="G44" s="14">
        <f>Table1[[#This Row],[Quantity]]*Table1[[#This Row],[Unit Price]]</f>
        <v>1876.98</v>
      </c>
    </row>
    <row r="45" spans="1:7" x14ac:dyDescent="0.35">
      <c r="A45" s="6" t="s">
        <v>74</v>
      </c>
      <c r="B45" s="4" t="s">
        <v>41</v>
      </c>
      <c r="C45" s="4" t="s">
        <v>36</v>
      </c>
      <c r="D45" s="4" t="s">
        <v>21</v>
      </c>
      <c r="E45" s="3">
        <v>10</v>
      </c>
      <c r="F45" s="13">
        <v>36.799999999999997</v>
      </c>
      <c r="G45" s="14">
        <f>Table1[[#This Row],[Quantity]]*Table1[[#This Row],[Unit Price]]</f>
        <v>368</v>
      </c>
    </row>
    <row r="46" spans="1:7" x14ac:dyDescent="0.35">
      <c r="A46" s="5" t="s">
        <v>75</v>
      </c>
      <c r="B46" s="2" t="s">
        <v>12</v>
      </c>
      <c r="C46" s="2" t="s">
        <v>30</v>
      </c>
      <c r="D46" s="2" t="s">
        <v>28</v>
      </c>
      <c r="E46" s="1">
        <v>11</v>
      </c>
      <c r="F46" s="13">
        <v>910.52</v>
      </c>
      <c r="G46" s="14">
        <f>Table1[[#This Row],[Quantity]]*Table1[[#This Row],[Unit Price]]</f>
        <v>10015.719999999999</v>
      </c>
    </row>
    <row r="47" spans="1:7" x14ac:dyDescent="0.35">
      <c r="A47" s="6" t="s">
        <v>76</v>
      </c>
      <c r="B47" s="4" t="s">
        <v>41</v>
      </c>
      <c r="C47" s="4" t="s">
        <v>30</v>
      </c>
      <c r="D47" s="4" t="s">
        <v>18</v>
      </c>
      <c r="E47" s="3">
        <v>6</v>
      </c>
      <c r="F47" s="13">
        <v>181.36</v>
      </c>
      <c r="G47" s="14">
        <f>Table1[[#This Row],[Quantity]]*Table1[[#This Row],[Unit Price]]</f>
        <v>1088.1600000000001</v>
      </c>
    </row>
    <row r="48" spans="1:7" x14ac:dyDescent="0.35">
      <c r="A48" s="5" t="s">
        <v>77</v>
      </c>
      <c r="B48" s="2" t="s">
        <v>8</v>
      </c>
      <c r="C48" s="2" t="s">
        <v>36</v>
      </c>
      <c r="D48" s="2" t="s">
        <v>32</v>
      </c>
      <c r="E48" s="1">
        <v>20</v>
      </c>
      <c r="F48" s="13">
        <v>318.83999999999997</v>
      </c>
      <c r="G48" s="14">
        <f>Table1[[#This Row],[Quantity]]*Table1[[#This Row],[Unit Price]]</f>
        <v>6376.7999999999993</v>
      </c>
    </row>
    <row r="49" spans="1:7" x14ac:dyDescent="0.35">
      <c r="A49" s="6" t="s">
        <v>78</v>
      </c>
      <c r="B49" s="4" t="s">
        <v>41</v>
      </c>
      <c r="C49" s="4" t="s">
        <v>13</v>
      </c>
      <c r="D49" s="4" t="s">
        <v>14</v>
      </c>
      <c r="E49" s="3">
        <v>8</v>
      </c>
      <c r="F49" s="13">
        <v>120.88</v>
      </c>
      <c r="G49" s="14">
        <f>Table1[[#This Row],[Quantity]]*Table1[[#This Row],[Unit Price]]</f>
        <v>967.04</v>
      </c>
    </row>
    <row r="50" spans="1:7" x14ac:dyDescent="0.35">
      <c r="A50" s="5" t="s">
        <v>79</v>
      </c>
      <c r="B50" s="2" t="s">
        <v>12</v>
      </c>
      <c r="C50" s="2" t="s">
        <v>13</v>
      </c>
      <c r="D50" s="2" t="s">
        <v>25</v>
      </c>
      <c r="E50" s="1">
        <v>19</v>
      </c>
      <c r="F50" s="13">
        <v>302.89999999999998</v>
      </c>
      <c r="G50" s="14">
        <f>Table1[[#This Row],[Quantity]]*Table1[[#This Row],[Unit Price]]</f>
        <v>5755.0999999999995</v>
      </c>
    </row>
    <row r="51" spans="1:7" x14ac:dyDescent="0.35">
      <c r="A51" s="6" t="s">
        <v>80</v>
      </c>
      <c r="B51" s="4" t="s">
        <v>35</v>
      </c>
      <c r="C51" s="4" t="s">
        <v>17</v>
      </c>
      <c r="D51" s="4" t="s">
        <v>23</v>
      </c>
      <c r="E51" s="3">
        <v>8</v>
      </c>
      <c r="F51" s="13">
        <v>84.83</v>
      </c>
      <c r="G51" s="14">
        <f>Table1[[#This Row],[Quantity]]*Table1[[#This Row],[Unit Price]]</f>
        <v>678.64</v>
      </c>
    </row>
    <row r="52" spans="1:7" x14ac:dyDescent="0.35">
      <c r="A52" s="5" t="s">
        <v>81</v>
      </c>
      <c r="B52" s="2" t="s">
        <v>35</v>
      </c>
      <c r="C52" s="2" t="s">
        <v>73</v>
      </c>
      <c r="D52" s="2" t="s">
        <v>23</v>
      </c>
      <c r="E52" s="1">
        <v>3</v>
      </c>
      <c r="F52" s="13">
        <v>80.27</v>
      </c>
      <c r="G52" s="14">
        <f>Table1[[#This Row],[Quantity]]*Table1[[#This Row],[Unit Price]]</f>
        <v>240.81</v>
      </c>
    </row>
    <row r="53" spans="1:7" x14ac:dyDescent="0.35">
      <c r="A53" s="6" t="s">
        <v>82</v>
      </c>
      <c r="B53" s="4" t="s">
        <v>12</v>
      </c>
      <c r="C53" s="4" t="s">
        <v>13</v>
      </c>
      <c r="D53" s="4" t="s">
        <v>32</v>
      </c>
      <c r="E53" s="3">
        <v>18</v>
      </c>
      <c r="F53" s="13">
        <v>328.98</v>
      </c>
      <c r="G53" s="14">
        <f>Table1[[#This Row],[Quantity]]*Table1[[#This Row],[Unit Price]]</f>
        <v>5921.64</v>
      </c>
    </row>
    <row r="54" spans="1:7" x14ac:dyDescent="0.35">
      <c r="A54" s="5" t="s">
        <v>83</v>
      </c>
      <c r="B54" s="2" t="s">
        <v>16</v>
      </c>
      <c r="C54" s="2" t="s">
        <v>56</v>
      </c>
      <c r="D54" s="2" t="s">
        <v>32</v>
      </c>
      <c r="E54" s="1">
        <v>8</v>
      </c>
      <c r="F54" s="13">
        <v>339.89</v>
      </c>
      <c r="G54" s="14">
        <f>Table1[[#This Row],[Quantity]]*Table1[[#This Row],[Unit Price]]</f>
        <v>2719.12</v>
      </c>
    </row>
    <row r="55" spans="1:7" x14ac:dyDescent="0.35">
      <c r="A55" s="6" t="s">
        <v>84</v>
      </c>
      <c r="B55" s="4" t="s">
        <v>41</v>
      </c>
      <c r="C55" s="4" t="s">
        <v>30</v>
      </c>
      <c r="D55" s="4" t="s">
        <v>10</v>
      </c>
      <c r="E55" s="3">
        <v>20</v>
      </c>
      <c r="F55" s="13">
        <v>141.47999999999999</v>
      </c>
      <c r="G55" s="14">
        <f>Table1[[#This Row],[Quantity]]*Table1[[#This Row],[Unit Price]]</f>
        <v>2829.6</v>
      </c>
    </row>
    <row r="56" spans="1:7" x14ac:dyDescent="0.35">
      <c r="A56" s="5" t="s">
        <v>85</v>
      </c>
      <c r="B56" s="2" t="s">
        <v>12</v>
      </c>
      <c r="C56" s="2" t="s">
        <v>9</v>
      </c>
      <c r="D56" s="2" t="s">
        <v>18</v>
      </c>
      <c r="E56" s="1">
        <v>10</v>
      </c>
      <c r="F56" s="13">
        <v>216.18</v>
      </c>
      <c r="G56" s="14">
        <f>Table1[[#This Row],[Quantity]]*Table1[[#This Row],[Unit Price]]</f>
        <v>2161.8000000000002</v>
      </c>
    </row>
    <row r="57" spans="1:7" x14ac:dyDescent="0.35">
      <c r="A57" s="6" t="s">
        <v>86</v>
      </c>
      <c r="B57" s="4" t="s">
        <v>16</v>
      </c>
      <c r="C57" s="4" t="s">
        <v>27</v>
      </c>
      <c r="D57" s="4" t="s">
        <v>32</v>
      </c>
      <c r="E57" s="3">
        <v>4</v>
      </c>
      <c r="F57" s="13">
        <v>365.92</v>
      </c>
      <c r="G57" s="14">
        <f>Table1[[#This Row],[Quantity]]*Table1[[#This Row],[Unit Price]]</f>
        <v>1463.68</v>
      </c>
    </row>
    <row r="58" spans="1:7" x14ac:dyDescent="0.35">
      <c r="A58" s="5" t="s">
        <v>87</v>
      </c>
      <c r="B58" s="2" t="s">
        <v>35</v>
      </c>
      <c r="C58" s="2" t="s">
        <v>27</v>
      </c>
      <c r="D58" s="2" t="s">
        <v>14</v>
      </c>
      <c r="E58" s="1">
        <v>7</v>
      </c>
      <c r="F58" s="13">
        <v>124.18</v>
      </c>
      <c r="G58" s="14">
        <f>Table1[[#This Row],[Quantity]]*Table1[[#This Row],[Unit Price]]</f>
        <v>869.26</v>
      </c>
    </row>
    <row r="59" spans="1:7" x14ac:dyDescent="0.35">
      <c r="A59" s="6" t="s">
        <v>88</v>
      </c>
      <c r="B59" s="4" t="s">
        <v>35</v>
      </c>
      <c r="C59" s="4" t="s">
        <v>30</v>
      </c>
      <c r="D59" s="4" t="s">
        <v>49</v>
      </c>
      <c r="E59" s="3">
        <v>9</v>
      </c>
      <c r="F59" s="13">
        <v>52.97</v>
      </c>
      <c r="G59" s="14">
        <f>Table1[[#This Row],[Quantity]]*Table1[[#This Row],[Unit Price]]</f>
        <v>476.73</v>
      </c>
    </row>
    <row r="60" spans="1:7" x14ac:dyDescent="0.35">
      <c r="A60" s="5" t="s">
        <v>89</v>
      </c>
      <c r="B60" s="2" t="s">
        <v>8</v>
      </c>
      <c r="C60" s="2" t="s">
        <v>20</v>
      </c>
      <c r="D60" s="2" t="s">
        <v>10</v>
      </c>
      <c r="E60" s="1">
        <v>2</v>
      </c>
      <c r="F60" s="13">
        <v>116.19</v>
      </c>
      <c r="G60" s="14">
        <f>Table1[[#This Row],[Quantity]]*Table1[[#This Row],[Unit Price]]</f>
        <v>232.38</v>
      </c>
    </row>
    <row r="61" spans="1:7" x14ac:dyDescent="0.35">
      <c r="A61" s="6" t="s">
        <v>90</v>
      </c>
      <c r="B61" s="4" t="s">
        <v>35</v>
      </c>
      <c r="C61" s="4" t="s">
        <v>36</v>
      </c>
      <c r="D61" s="4" t="s">
        <v>49</v>
      </c>
      <c r="E61" s="3">
        <v>18</v>
      </c>
      <c r="F61" s="13">
        <v>51.02</v>
      </c>
      <c r="G61" s="14">
        <f>Table1[[#This Row],[Quantity]]*Table1[[#This Row],[Unit Price]]</f>
        <v>918.36</v>
      </c>
    </row>
    <row r="62" spans="1:7" x14ac:dyDescent="0.35">
      <c r="A62" s="5" t="s">
        <v>45</v>
      </c>
      <c r="B62" s="2" t="s">
        <v>8</v>
      </c>
      <c r="C62" s="2" t="s">
        <v>13</v>
      </c>
      <c r="D62" s="2" t="s">
        <v>32</v>
      </c>
      <c r="E62" s="1">
        <v>5</v>
      </c>
      <c r="F62" s="13">
        <v>352.18</v>
      </c>
      <c r="G62" s="14">
        <f>Table1[[#This Row],[Quantity]]*Table1[[#This Row],[Unit Price]]</f>
        <v>1760.9</v>
      </c>
    </row>
    <row r="63" spans="1:7" x14ac:dyDescent="0.35">
      <c r="A63" s="6" t="s">
        <v>91</v>
      </c>
      <c r="B63" s="4" t="s">
        <v>12</v>
      </c>
      <c r="C63" s="4" t="s">
        <v>30</v>
      </c>
      <c r="D63" s="4" t="s">
        <v>39</v>
      </c>
      <c r="E63" s="3">
        <v>14</v>
      </c>
      <c r="F63" s="13">
        <v>73.11</v>
      </c>
      <c r="G63" s="14">
        <f>Table1[[#This Row],[Quantity]]*Table1[[#This Row],[Unit Price]]</f>
        <v>1023.54</v>
      </c>
    </row>
    <row r="64" spans="1:7" x14ac:dyDescent="0.35">
      <c r="A64" s="5" t="s">
        <v>92</v>
      </c>
      <c r="B64" s="2" t="s">
        <v>35</v>
      </c>
      <c r="C64" s="2" t="s">
        <v>9</v>
      </c>
      <c r="D64" s="2" t="s">
        <v>23</v>
      </c>
      <c r="E64" s="1">
        <v>7</v>
      </c>
      <c r="F64" s="13">
        <v>92.24</v>
      </c>
      <c r="G64" s="14">
        <f>Table1[[#This Row],[Quantity]]*Table1[[#This Row],[Unit Price]]</f>
        <v>645.67999999999995</v>
      </c>
    </row>
    <row r="65" spans="1:7" x14ac:dyDescent="0.35">
      <c r="A65" s="6" t="s">
        <v>93</v>
      </c>
      <c r="B65" s="4" t="s">
        <v>8</v>
      </c>
      <c r="C65" s="4" t="s">
        <v>56</v>
      </c>
      <c r="D65" s="4" t="s">
        <v>18</v>
      </c>
      <c r="E65" s="3">
        <v>14</v>
      </c>
      <c r="F65" s="13">
        <v>217.86</v>
      </c>
      <c r="G65" s="14">
        <f>Table1[[#This Row],[Quantity]]*Table1[[#This Row],[Unit Price]]</f>
        <v>3050.04</v>
      </c>
    </row>
    <row r="66" spans="1:7" x14ac:dyDescent="0.35">
      <c r="A66" s="5" t="s">
        <v>94</v>
      </c>
      <c r="B66" s="2" t="s">
        <v>16</v>
      </c>
      <c r="C66" s="2" t="s">
        <v>36</v>
      </c>
      <c r="D66" s="2" t="s">
        <v>39</v>
      </c>
      <c r="E66" s="1">
        <v>14</v>
      </c>
      <c r="F66" s="13">
        <v>71.489999999999995</v>
      </c>
      <c r="G66" s="14">
        <f>Table1[[#This Row],[Quantity]]*Table1[[#This Row],[Unit Price]]</f>
        <v>1000.8599999999999</v>
      </c>
    </row>
    <row r="67" spans="1:7" x14ac:dyDescent="0.35">
      <c r="A67" s="6" t="s">
        <v>95</v>
      </c>
      <c r="B67" s="4" t="s">
        <v>41</v>
      </c>
      <c r="C67" s="4" t="s">
        <v>17</v>
      </c>
      <c r="D67" s="4" t="s">
        <v>10</v>
      </c>
      <c r="E67" s="3">
        <v>6</v>
      </c>
      <c r="F67" s="13">
        <v>136.41</v>
      </c>
      <c r="G67" s="14">
        <f>Table1[[#This Row],[Quantity]]*Table1[[#This Row],[Unit Price]]</f>
        <v>818.46</v>
      </c>
    </row>
    <row r="68" spans="1:7" x14ac:dyDescent="0.35">
      <c r="A68" s="5" t="s">
        <v>96</v>
      </c>
      <c r="B68" s="2" t="s">
        <v>41</v>
      </c>
      <c r="C68" s="2" t="s">
        <v>9</v>
      </c>
      <c r="D68" s="2" t="s">
        <v>49</v>
      </c>
      <c r="E68" s="1">
        <v>8</v>
      </c>
      <c r="F68" s="13">
        <v>46.06</v>
      </c>
      <c r="G68" s="14">
        <f>Table1[[#This Row],[Quantity]]*Table1[[#This Row],[Unit Price]]</f>
        <v>368.48</v>
      </c>
    </row>
    <row r="69" spans="1:7" x14ac:dyDescent="0.35">
      <c r="A69" s="6" t="s">
        <v>97</v>
      </c>
      <c r="B69" s="4" t="s">
        <v>35</v>
      </c>
      <c r="C69" s="4" t="s">
        <v>27</v>
      </c>
      <c r="D69" s="4" t="s">
        <v>21</v>
      </c>
      <c r="E69" s="3">
        <v>8</v>
      </c>
      <c r="F69" s="13">
        <v>35.28</v>
      </c>
      <c r="G69" s="14">
        <f>Table1[[#This Row],[Quantity]]*Table1[[#This Row],[Unit Price]]</f>
        <v>282.24</v>
      </c>
    </row>
    <row r="70" spans="1:7" x14ac:dyDescent="0.35">
      <c r="A70" s="5" t="s">
        <v>98</v>
      </c>
      <c r="B70" s="2" t="s">
        <v>41</v>
      </c>
      <c r="C70" s="2" t="s">
        <v>56</v>
      </c>
      <c r="D70" s="2" t="s">
        <v>10</v>
      </c>
      <c r="E70" s="1">
        <v>3</v>
      </c>
      <c r="F70" s="13">
        <v>141.05000000000001</v>
      </c>
      <c r="G70" s="14">
        <f>Table1[[#This Row],[Quantity]]*Table1[[#This Row],[Unit Price]]</f>
        <v>423.15000000000003</v>
      </c>
    </row>
    <row r="71" spans="1:7" x14ac:dyDescent="0.35">
      <c r="A71" s="6" t="s">
        <v>99</v>
      </c>
      <c r="B71" s="4" t="s">
        <v>35</v>
      </c>
      <c r="C71" s="4" t="s">
        <v>30</v>
      </c>
      <c r="D71" s="4" t="s">
        <v>25</v>
      </c>
      <c r="E71" s="3">
        <v>18</v>
      </c>
      <c r="F71" s="13">
        <v>288.89999999999998</v>
      </c>
      <c r="G71" s="14">
        <f>Table1[[#This Row],[Quantity]]*Table1[[#This Row],[Unit Price]]</f>
        <v>5200.2</v>
      </c>
    </row>
    <row r="72" spans="1:7" x14ac:dyDescent="0.35">
      <c r="A72" s="5" t="s">
        <v>100</v>
      </c>
      <c r="B72" s="2" t="s">
        <v>8</v>
      </c>
      <c r="C72" s="2" t="s">
        <v>27</v>
      </c>
      <c r="D72" s="2" t="s">
        <v>39</v>
      </c>
      <c r="E72" s="1">
        <v>19</v>
      </c>
      <c r="F72" s="13">
        <v>86.31</v>
      </c>
      <c r="G72" s="14">
        <f>Table1[[#This Row],[Quantity]]*Table1[[#This Row],[Unit Price]]</f>
        <v>1639.89</v>
      </c>
    </row>
    <row r="73" spans="1:7" x14ac:dyDescent="0.35">
      <c r="A73" s="6" t="s">
        <v>83</v>
      </c>
      <c r="B73" s="4" t="s">
        <v>8</v>
      </c>
      <c r="C73" s="4" t="s">
        <v>13</v>
      </c>
      <c r="D73" s="4" t="s">
        <v>14</v>
      </c>
      <c r="E73" s="3">
        <v>14</v>
      </c>
      <c r="F73" s="13">
        <v>115.33</v>
      </c>
      <c r="G73" s="14">
        <f>Table1[[#This Row],[Quantity]]*Table1[[#This Row],[Unit Price]]</f>
        <v>1614.62</v>
      </c>
    </row>
    <row r="74" spans="1:7" x14ac:dyDescent="0.35">
      <c r="A74" s="5" t="s">
        <v>101</v>
      </c>
      <c r="B74" s="2" t="s">
        <v>41</v>
      </c>
      <c r="C74" s="2" t="s">
        <v>38</v>
      </c>
      <c r="D74" s="2" t="s">
        <v>18</v>
      </c>
      <c r="E74" s="1">
        <v>4</v>
      </c>
      <c r="F74" s="13">
        <v>194.43</v>
      </c>
      <c r="G74" s="14">
        <f>Table1[[#This Row],[Quantity]]*Table1[[#This Row],[Unit Price]]</f>
        <v>777.72</v>
      </c>
    </row>
    <row r="75" spans="1:7" x14ac:dyDescent="0.35">
      <c r="A75" s="6" t="s">
        <v>102</v>
      </c>
      <c r="B75" s="4" t="s">
        <v>16</v>
      </c>
      <c r="C75" s="4" t="s">
        <v>27</v>
      </c>
      <c r="D75" s="4" t="s">
        <v>28</v>
      </c>
      <c r="E75" s="3">
        <v>14</v>
      </c>
      <c r="F75" s="13">
        <v>899.44</v>
      </c>
      <c r="G75" s="14">
        <f>Table1[[#This Row],[Quantity]]*Table1[[#This Row],[Unit Price]]</f>
        <v>12592.16</v>
      </c>
    </row>
    <row r="76" spans="1:7" x14ac:dyDescent="0.35">
      <c r="A76" s="5" t="s">
        <v>103</v>
      </c>
      <c r="B76" s="2" t="s">
        <v>16</v>
      </c>
      <c r="C76" s="2" t="s">
        <v>56</v>
      </c>
      <c r="D76" s="2" t="s">
        <v>25</v>
      </c>
      <c r="E76" s="1">
        <v>3</v>
      </c>
      <c r="F76" s="13">
        <v>325.83999999999997</v>
      </c>
      <c r="G76" s="14">
        <f>Table1[[#This Row],[Quantity]]*Table1[[#This Row],[Unit Price]]</f>
        <v>977.52</v>
      </c>
    </row>
    <row r="77" spans="1:7" x14ac:dyDescent="0.35">
      <c r="A77" s="6" t="s">
        <v>104</v>
      </c>
      <c r="B77" s="4" t="s">
        <v>12</v>
      </c>
      <c r="C77" s="4" t="s">
        <v>56</v>
      </c>
      <c r="D77" s="4" t="s">
        <v>32</v>
      </c>
      <c r="E77" s="3">
        <v>10</v>
      </c>
      <c r="F77" s="13">
        <v>349.5</v>
      </c>
      <c r="G77" s="14">
        <f>Table1[[#This Row],[Quantity]]*Table1[[#This Row],[Unit Price]]</f>
        <v>3495</v>
      </c>
    </row>
    <row r="78" spans="1:7" x14ac:dyDescent="0.35">
      <c r="A78" s="5" t="s">
        <v>93</v>
      </c>
      <c r="B78" s="2" t="s">
        <v>41</v>
      </c>
      <c r="C78" s="2" t="s">
        <v>56</v>
      </c>
      <c r="D78" s="2" t="s">
        <v>25</v>
      </c>
      <c r="E78" s="1">
        <v>10</v>
      </c>
      <c r="F78" s="13">
        <v>302.25</v>
      </c>
      <c r="G78" s="14">
        <f>Table1[[#This Row],[Quantity]]*Table1[[#This Row],[Unit Price]]</f>
        <v>3022.5</v>
      </c>
    </row>
    <row r="79" spans="1:7" x14ac:dyDescent="0.35">
      <c r="A79" s="6" t="s">
        <v>105</v>
      </c>
      <c r="B79" s="4" t="s">
        <v>41</v>
      </c>
      <c r="C79" s="4" t="s">
        <v>20</v>
      </c>
      <c r="D79" s="4" t="s">
        <v>39</v>
      </c>
      <c r="E79" s="3">
        <v>20</v>
      </c>
      <c r="F79" s="13">
        <v>80.09</v>
      </c>
      <c r="G79" s="14">
        <f>Table1[[#This Row],[Quantity]]*Table1[[#This Row],[Unit Price]]</f>
        <v>1601.8000000000002</v>
      </c>
    </row>
    <row r="80" spans="1:7" x14ac:dyDescent="0.35">
      <c r="A80" s="5" t="s">
        <v>106</v>
      </c>
      <c r="B80" s="2" t="s">
        <v>12</v>
      </c>
      <c r="C80" s="2" t="s">
        <v>9</v>
      </c>
      <c r="D80" s="2" t="s">
        <v>10</v>
      </c>
      <c r="E80" s="1">
        <v>10</v>
      </c>
      <c r="F80" s="13">
        <v>121.52</v>
      </c>
      <c r="G80" s="14">
        <f>Table1[[#This Row],[Quantity]]*Table1[[#This Row],[Unit Price]]</f>
        <v>1215.2</v>
      </c>
    </row>
    <row r="81" spans="1:7" x14ac:dyDescent="0.35">
      <c r="A81" s="6" t="s">
        <v>107</v>
      </c>
      <c r="B81" s="4" t="s">
        <v>12</v>
      </c>
      <c r="C81" s="4" t="s">
        <v>56</v>
      </c>
      <c r="D81" s="4" t="s">
        <v>49</v>
      </c>
      <c r="E81" s="3">
        <v>15</v>
      </c>
      <c r="F81" s="13">
        <v>48.43</v>
      </c>
      <c r="G81" s="14">
        <f>Table1[[#This Row],[Quantity]]*Table1[[#This Row],[Unit Price]]</f>
        <v>726.45</v>
      </c>
    </row>
    <row r="82" spans="1:7" x14ac:dyDescent="0.35">
      <c r="A82" s="5" t="s">
        <v>108</v>
      </c>
      <c r="B82" s="2" t="s">
        <v>12</v>
      </c>
      <c r="C82" s="2" t="s">
        <v>73</v>
      </c>
      <c r="D82" s="2" t="s">
        <v>39</v>
      </c>
      <c r="E82" s="1">
        <v>3</v>
      </c>
      <c r="F82" s="13">
        <v>75.58</v>
      </c>
      <c r="G82" s="14">
        <f>Table1[[#This Row],[Quantity]]*Table1[[#This Row],[Unit Price]]</f>
        <v>226.74</v>
      </c>
    </row>
    <row r="83" spans="1:7" x14ac:dyDescent="0.35">
      <c r="A83" s="6" t="s">
        <v>109</v>
      </c>
      <c r="B83" s="4" t="s">
        <v>12</v>
      </c>
      <c r="C83" s="4" t="s">
        <v>56</v>
      </c>
      <c r="D83" s="4" t="s">
        <v>32</v>
      </c>
      <c r="E83" s="3">
        <v>8</v>
      </c>
      <c r="F83" s="13">
        <v>361.06</v>
      </c>
      <c r="G83" s="14">
        <f>Table1[[#This Row],[Quantity]]*Table1[[#This Row],[Unit Price]]</f>
        <v>2888.48</v>
      </c>
    </row>
    <row r="84" spans="1:7" x14ac:dyDescent="0.35">
      <c r="A84" s="5" t="s">
        <v>110</v>
      </c>
      <c r="B84" s="2" t="s">
        <v>16</v>
      </c>
      <c r="C84" s="2" t="s">
        <v>36</v>
      </c>
      <c r="D84" s="2" t="s">
        <v>28</v>
      </c>
      <c r="E84" s="1">
        <v>2</v>
      </c>
      <c r="F84" s="13">
        <v>948.02</v>
      </c>
      <c r="G84" s="14">
        <f>Table1[[#This Row],[Quantity]]*Table1[[#This Row],[Unit Price]]</f>
        <v>1896.04</v>
      </c>
    </row>
    <row r="85" spans="1:7" x14ac:dyDescent="0.35">
      <c r="A85" s="6" t="s">
        <v>111</v>
      </c>
      <c r="B85" s="4" t="s">
        <v>12</v>
      </c>
      <c r="C85" s="4" t="s">
        <v>13</v>
      </c>
      <c r="D85" s="4" t="s">
        <v>49</v>
      </c>
      <c r="E85" s="3">
        <v>14</v>
      </c>
      <c r="F85" s="13">
        <v>52.78</v>
      </c>
      <c r="G85" s="14">
        <f>Table1[[#This Row],[Quantity]]*Table1[[#This Row],[Unit Price]]</f>
        <v>738.92000000000007</v>
      </c>
    </row>
    <row r="86" spans="1:7" x14ac:dyDescent="0.35">
      <c r="A86" s="5" t="s">
        <v>112</v>
      </c>
      <c r="B86" s="2" t="s">
        <v>16</v>
      </c>
      <c r="C86" s="2" t="s">
        <v>20</v>
      </c>
      <c r="D86" s="2" t="s">
        <v>49</v>
      </c>
      <c r="E86" s="1">
        <v>13</v>
      </c>
      <c r="F86" s="13">
        <v>46.49</v>
      </c>
      <c r="G86" s="14">
        <f>Table1[[#This Row],[Quantity]]*Table1[[#This Row],[Unit Price]]</f>
        <v>604.37</v>
      </c>
    </row>
    <row r="87" spans="1:7" x14ac:dyDescent="0.35">
      <c r="A87" s="6" t="s">
        <v>113</v>
      </c>
      <c r="B87" s="4" t="s">
        <v>8</v>
      </c>
      <c r="C87" s="4" t="s">
        <v>13</v>
      </c>
      <c r="D87" s="4" t="s">
        <v>25</v>
      </c>
      <c r="E87" s="3">
        <v>8</v>
      </c>
      <c r="F87" s="13">
        <v>279.62</v>
      </c>
      <c r="G87" s="14">
        <f>Table1[[#This Row],[Quantity]]*Table1[[#This Row],[Unit Price]]</f>
        <v>2236.96</v>
      </c>
    </row>
    <row r="88" spans="1:7" x14ac:dyDescent="0.35">
      <c r="A88" s="5" t="s">
        <v>114</v>
      </c>
      <c r="B88" s="2" t="s">
        <v>12</v>
      </c>
      <c r="C88" s="2" t="s">
        <v>73</v>
      </c>
      <c r="D88" s="2" t="s">
        <v>28</v>
      </c>
      <c r="E88" s="1">
        <v>18</v>
      </c>
      <c r="F88" s="13">
        <v>948.89</v>
      </c>
      <c r="G88" s="14">
        <f>Table1[[#This Row],[Quantity]]*Table1[[#This Row],[Unit Price]]</f>
        <v>17080.02</v>
      </c>
    </row>
    <row r="89" spans="1:7" x14ac:dyDescent="0.35">
      <c r="A89" s="6" t="s">
        <v>115</v>
      </c>
      <c r="B89" s="4" t="s">
        <v>41</v>
      </c>
      <c r="C89" s="4" t="s">
        <v>36</v>
      </c>
      <c r="D89" s="4" t="s">
        <v>49</v>
      </c>
      <c r="E89" s="3">
        <v>17</v>
      </c>
      <c r="F89" s="13">
        <v>53.78</v>
      </c>
      <c r="G89" s="14">
        <f>Table1[[#This Row],[Quantity]]*Table1[[#This Row],[Unit Price]]</f>
        <v>914.26</v>
      </c>
    </row>
    <row r="90" spans="1:7" x14ac:dyDescent="0.35">
      <c r="A90" s="5" t="s">
        <v>116</v>
      </c>
      <c r="B90" s="2" t="s">
        <v>35</v>
      </c>
      <c r="C90" s="2" t="s">
        <v>73</v>
      </c>
      <c r="D90" s="2" t="s">
        <v>14</v>
      </c>
      <c r="E90" s="1">
        <v>17</v>
      </c>
      <c r="F90" s="13">
        <v>117.26</v>
      </c>
      <c r="G90" s="14">
        <f>Table1[[#This Row],[Quantity]]*Table1[[#This Row],[Unit Price]]</f>
        <v>1993.42</v>
      </c>
    </row>
    <row r="91" spans="1:7" x14ac:dyDescent="0.35">
      <c r="A91" s="6" t="s">
        <v>117</v>
      </c>
      <c r="B91" s="4" t="s">
        <v>41</v>
      </c>
      <c r="C91" s="4" t="s">
        <v>36</v>
      </c>
      <c r="D91" s="4" t="s">
        <v>49</v>
      </c>
      <c r="E91" s="3">
        <v>15</v>
      </c>
      <c r="F91" s="13">
        <v>46.64</v>
      </c>
      <c r="G91" s="14">
        <f>Table1[[#This Row],[Quantity]]*Table1[[#This Row],[Unit Price]]</f>
        <v>699.6</v>
      </c>
    </row>
    <row r="92" spans="1:7" x14ac:dyDescent="0.35">
      <c r="A92" s="5" t="s">
        <v>118</v>
      </c>
      <c r="B92" s="2" t="s">
        <v>35</v>
      </c>
      <c r="C92" s="2" t="s">
        <v>30</v>
      </c>
      <c r="D92" s="2" t="s">
        <v>49</v>
      </c>
      <c r="E92" s="1">
        <v>8</v>
      </c>
      <c r="F92" s="13">
        <v>46.79</v>
      </c>
      <c r="G92" s="14">
        <f>Table1[[#This Row],[Quantity]]*Table1[[#This Row],[Unit Price]]</f>
        <v>374.32</v>
      </c>
    </row>
    <row r="93" spans="1:7" x14ac:dyDescent="0.35">
      <c r="A93" s="6" t="s">
        <v>119</v>
      </c>
      <c r="B93" s="4" t="s">
        <v>35</v>
      </c>
      <c r="C93" s="4" t="s">
        <v>17</v>
      </c>
      <c r="D93" s="4" t="s">
        <v>10</v>
      </c>
      <c r="E93" s="3">
        <v>11</v>
      </c>
      <c r="F93" s="13">
        <v>124.35</v>
      </c>
      <c r="G93" s="14">
        <f>Table1[[#This Row],[Quantity]]*Table1[[#This Row],[Unit Price]]</f>
        <v>1367.85</v>
      </c>
    </row>
    <row r="94" spans="1:7" x14ac:dyDescent="0.35">
      <c r="A94" s="5" t="s">
        <v>70</v>
      </c>
      <c r="B94" s="2" t="s">
        <v>8</v>
      </c>
      <c r="C94" s="2" t="s">
        <v>36</v>
      </c>
      <c r="D94" s="2" t="s">
        <v>39</v>
      </c>
      <c r="E94" s="1">
        <v>8</v>
      </c>
      <c r="F94" s="13">
        <v>77.150000000000006</v>
      </c>
      <c r="G94" s="14">
        <f>Table1[[#This Row],[Quantity]]*Table1[[#This Row],[Unit Price]]</f>
        <v>617.20000000000005</v>
      </c>
    </row>
    <row r="95" spans="1:7" x14ac:dyDescent="0.35">
      <c r="A95" s="6" t="s">
        <v>120</v>
      </c>
      <c r="B95" s="4" t="s">
        <v>16</v>
      </c>
      <c r="C95" s="4" t="s">
        <v>13</v>
      </c>
      <c r="D95" s="4" t="s">
        <v>25</v>
      </c>
      <c r="E95" s="3">
        <v>14</v>
      </c>
      <c r="F95" s="13">
        <v>288.89</v>
      </c>
      <c r="G95" s="14">
        <f>Table1[[#This Row],[Quantity]]*Table1[[#This Row],[Unit Price]]</f>
        <v>4044.46</v>
      </c>
    </row>
    <row r="96" spans="1:7" x14ac:dyDescent="0.35">
      <c r="A96" s="5" t="s">
        <v>121</v>
      </c>
      <c r="B96" s="2" t="s">
        <v>41</v>
      </c>
      <c r="C96" s="2" t="s">
        <v>9</v>
      </c>
      <c r="D96" s="2" t="s">
        <v>21</v>
      </c>
      <c r="E96" s="1">
        <v>14</v>
      </c>
      <c r="F96" s="13">
        <v>38.14</v>
      </c>
      <c r="G96" s="14">
        <f>Table1[[#This Row],[Quantity]]*Table1[[#This Row],[Unit Price]]</f>
        <v>533.96</v>
      </c>
    </row>
    <row r="97" spans="1:7" x14ac:dyDescent="0.35">
      <c r="A97" s="6" t="s">
        <v>76</v>
      </c>
      <c r="B97" s="4" t="s">
        <v>8</v>
      </c>
      <c r="C97" s="4" t="s">
        <v>38</v>
      </c>
      <c r="D97" s="4" t="s">
        <v>25</v>
      </c>
      <c r="E97" s="3">
        <v>16</v>
      </c>
      <c r="F97" s="13">
        <v>269.45</v>
      </c>
      <c r="G97" s="14">
        <f>Table1[[#This Row],[Quantity]]*Table1[[#This Row],[Unit Price]]</f>
        <v>4311.2</v>
      </c>
    </row>
    <row r="98" spans="1:7" x14ac:dyDescent="0.35">
      <c r="A98" s="5" t="s">
        <v>122</v>
      </c>
      <c r="B98" s="2" t="s">
        <v>35</v>
      </c>
      <c r="C98" s="2" t="s">
        <v>20</v>
      </c>
      <c r="D98" s="2" t="s">
        <v>25</v>
      </c>
      <c r="E98" s="1">
        <v>18</v>
      </c>
      <c r="F98" s="13">
        <v>313.8</v>
      </c>
      <c r="G98" s="14">
        <f>Table1[[#This Row],[Quantity]]*Table1[[#This Row],[Unit Price]]</f>
        <v>5648.4000000000005</v>
      </c>
    </row>
    <row r="99" spans="1:7" x14ac:dyDescent="0.35">
      <c r="A99" s="6" t="s">
        <v>123</v>
      </c>
      <c r="B99" s="4" t="s">
        <v>12</v>
      </c>
      <c r="C99" s="4" t="s">
        <v>17</v>
      </c>
      <c r="D99" s="4" t="s">
        <v>49</v>
      </c>
      <c r="E99" s="3">
        <v>8</v>
      </c>
      <c r="F99" s="13">
        <v>46.77</v>
      </c>
      <c r="G99" s="14">
        <f>Table1[[#This Row],[Quantity]]*Table1[[#This Row],[Unit Price]]</f>
        <v>374.16</v>
      </c>
    </row>
    <row r="100" spans="1:7" x14ac:dyDescent="0.35">
      <c r="A100" s="5" t="s">
        <v>124</v>
      </c>
      <c r="B100" s="2" t="s">
        <v>8</v>
      </c>
      <c r="C100" s="2" t="s">
        <v>20</v>
      </c>
      <c r="D100" s="2" t="s">
        <v>23</v>
      </c>
      <c r="E100" s="1">
        <v>13</v>
      </c>
      <c r="F100" s="13">
        <v>92.99</v>
      </c>
      <c r="G100" s="14">
        <f>Table1[[#This Row],[Quantity]]*Table1[[#This Row],[Unit Price]]</f>
        <v>1208.8699999999999</v>
      </c>
    </row>
    <row r="101" spans="1:7" x14ac:dyDescent="0.35">
      <c r="A101" s="6" t="s">
        <v>125</v>
      </c>
      <c r="B101" s="4" t="s">
        <v>16</v>
      </c>
      <c r="C101" s="4" t="s">
        <v>38</v>
      </c>
      <c r="D101" s="4" t="s">
        <v>18</v>
      </c>
      <c r="E101" s="3">
        <v>1</v>
      </c>
      <c r="F101" s="13">
        <v>215.2</v>
      </c>
      <c r="G101" s="14">
        <f>Table1[[#This Row],[Quantity]]*Table1[[#This Row],[Unit Price]]</f>
        <v>215.2</v>
      </c>
    </row>
    <row r="102" spans="1:7" x14ac:dyDescent="0.35">
      <c r="A102" s="5" t="s">
        <v>126</v>
      </c>
      <c r="B102" s="2" t="s">
        <v>12</v>
      </c>
      <c r="C102" s="2" t="s">
        <v>9</v>
      </c>
      <c r="D102" s="2" t="s">
        <v>32</v>
      </c>
      <c r="E102" s="1">
        <v>14</v>
      </c>
      <c r="F102" s="13">
        <v>323.57</v>
      </c>
      <c r="G102" s="14">
        <f>Table1[[#This Row],[Quantity]]*Table1[[#This Row],[Unit Price]]</f>
        <v>4529.9799999999996</v>
      </c>
    </row>
    <row r="103" spans="1:7" x14ac:dyDescent="0.35">
      <c r="A103" s="6" t="s">
        <v>127</v>
      </c>
      <c r="B103" s="4" t="s">
        <v>16</v>
      </c>
      <c r="C103" s="4" t="s">
        <v>9</v>
      </c>
      <c r="D103" s="4" t="s">
        <v>10</v>
      </c>
      <c r="E103" s="3">
        <v>13</v>
      </c>
      <c r="F103" s="13">
        <v>124.55</v>
      </c>
      <c r="G103" s="14">
        <f>Table1[[#This Row],[Quantity]]*Table1[[#This Row],[Unit Price]]</f>
        <v>1619.1499999999999</v>
      </c>
    </row>
    <row r="104" spans="1:7" x14ac:dyDescent="0.35">
      <c r="A104" s="5" t="s">
        <v>128</v>
      </c>
      <c r="B104" s="2" t="s">
        <v>35</v>
      </c>
      <c r="C104" s="2" t="s">
        <v>56</v>
      </c>
      <c r="D104" s="2" t="s">
        <v>25</v>
      </c>
      <c r="E104" s="1">
        <v>9</v>
      </c>
      <c r="F104" s="13">
        <v>314.07</v>
      </c>
      <c r="G104" s="14">
        <f>Table1[[#This Row],[Quantity]]*Table1[[#This Row],[Unit Price]]</f>
        <v>2826.63</v>
      </c>
    </row>
    <row r="105" spans="1:7" x14ac:dyDescent="0.35">
      <c r="A105" s="6" t="s">
        <v>129</v>
      </c>
      <c r="B105" s="4" t="s">
        <v>35</v>
      </c>
      <c r="C105" s="4" t="s">
        <v>13</v>
      </c>
      <c r="D105" s="4" t="s">
        <v>49</v>
      </c>
      <c r="E105" s="3">
        <v>1</v>
      </c>
      <c r="F105" s="13">
        <v>51.44</v>
      </c>
      <c r="G105" s="14">
        <f>Table1[[#This Row],[Quantity]]*Table1[[#This Row],[Unit Price]]</f>
        <v>51.44</v>
      </c>
    </row>
    <row r="106" spans="1:7" x14ac:dyDescent="0.35">
      <c r="A106" s="5" t="s">
        <v>130</v>
      </c>
      <c r="B106" s="2" t="s">
        <v>35</v>
      </c>
      <c r="C106" s="2" t="s">
        <v>17</v>
      </c>
      <c r="D106" s="2" t="s">
        <v>32</v>
      </c>
      <c r="E106" s="1">
        <v>2</v>
      </c>
      <c r="F106" s="13">
        <v>366.75</v>
      </c>
      <c r="G106" s="14">
        <f>Table1[[#This Row],[Quantity]]*Table1[[#This Row],[Unit Price]]</f>
        <v>733.5</v>
      </c>
    </row>
    <row r="107" spans="1:7" x14ac:dyDescent="0.35">
      <c r="A107" s="6" t="s">
        <v>118</v>
      </c>
      <c r="B107" s="4" t="s">
        <v>16</v>
      </c>
      <c r="C107" s="4" t="s">
        <v>9</v>
      </c>
      <c r="D107" s="4" t="s">
        <v>14</v>
      </c>
      <c r="E107" s="3">
        <v>5</v>
      </c>
      <c r="F107" s="13">
        <v>112.78</v>
      </c>
      <c r="G107" s="14">
        <f>Table1[[#This Row],[Quantity]]*Table1[[#This Row],[Unit Price]]</f>
        <v>563.9</v>
      </c>
    </row>
    <row r="108" spans="1:7" x14ac:dyDescent="0.35">
      <c r="A108" s="5" t="s">
        <v>131</v>
      </c>
      <c r="B108" s="2" t="s">
        <v>8</v>
      </c>
      <c r="C108" s="2" t="s">
        <v>38</v>
      </c>
      <c r="D108" s="2" t="s">
        <v>21</v>
      </c>
      <c r="E108" s="1">
        <v>15</v>
      </c>
      <c r="F108" s="13">
        <v>40.56</v>
      </c>
      <c r="G108" s="14">
        <f>Table1[[#This Row],[Quantity]]*Table1[[#This Row],[Unit Price]]</f>
        <v>608.40000000000009</v>
      </c>
    </row>
    <row r="109" spans="1:7" x14ac:dyDescent="0.35">
      <c r="A109" s="6" t="s">
        <v>132</v>
      </c>
      <c r="B109" s="4" t="s">
        <v>16</v>
      </c>
      <c r="C109" s="4" t="s">
        <v>38</v>
      </c>
      <c r="D109" s="4" t="s">
        <v>14</v>
      </c>
      <c r="E109" s="3">
        <v>4</v>
      </c>
      <c r="F109" s="13">
        <v>125.61</v>
      </c>
      <c r="G109" s="14">
        <f>Table1[[#This Row],[Quantity]]*Table1[[#This Row],[Unit Price]]</f>
        <v>502.44</v>
      </c>
    </row>
    <row r="110" spans="1:7" x14ac:dyDescent="0.35">
      <c r="A110" s="5" t="s">
        <v>40</v>
      </c>
      <c r="B110" s="2" t="s">
        <v>35</v>
      </c>
      <c r="C110" s="2" t="s">
        <v>13</v>
      </c>
      <c r="D110" s="2" t="s">
        <v>14</v>
      </c>
      <c r="E110" s="1">
        <v>1</v>
      </c>
      <c r="F110" s="13">
        <v>129.21</v>
      </c>
      <c r="G110" s="14">
        <f>Table1[[#This Row],[Quantity]]*Table1[[#This Row],[Unit Price]]</f>
        <v>129.21</v>
      </c>
    </row>
    <row r="111" spans="1:7" x14ac:dyDescent="0.35">
      <c r="A111" s="6" t="s">
        <v>112</v>
      </c>
      <c r="B111" s="4" t="s">
        <v>41</v>
      </c>
      <c r="C111" s="4" t="s">
        <v>20</v>
      </c>
      <c r="D111" s="4" t="s">
        <v>21</v>
      </c>
      <c r="E111" s="3">
        <v>3</v>
      </c>
      <c r="F111" s="13">
        <v>39.72</v>
      </c>
      <c r="G111" s="14">
        <f>Table1[[#This Row],[Quantity]]*Table1[[#This Row],[Unit Price]]</f>
        <v>119.16</v>
      </c>
    </row>
    <row r="112" spans="1:7" x14ac:dyDescent="0.35">
      <c r="A112" s="5" t="s">
        <v>133</v>
      </c>
      <c r="B112" s="2" t="s">
        <v>16</v>
      </c>
      <c r="C112" s="2" t="s">
        <v>13</v>
      </c>
      <c r="D112" s="2" t="s">
        <v>10</v>
      </c>
      <c r="E112" s="1">
        <v>20</v>
      </c>
      <c r="F112" s="13">
        <v>136.88</v>
      </c>
      <c r="G112" s="14">
        <f>Table1[[#This Row],[Quantity]]*Table1[[#This Row],[Unit Price]]</f>
        <v>2737.6</v>
      </c>
    </row>
    <row r="113" spans="1:7" x14ac:dyDescent="0.35">
      <c r="A113" s="6" t="s">
        <v>134</v>
      </c>
      <c r="B113" s="4" t="s">
        <v>8</v>
      </c>
      <c r="C113" s="4" t="s">
        <v>56</v>
      </c>
      <c r="D113" s="4" t="s">
        <v>18</v>
      </c>
      <c r="E113" s="3">
        <v>14</v>
      </c>
      <c r="F113" s="13">
        <v>205.43</v>
      </c>
      <c r="G113" s="14">
        <f>Table1[[#This Row],[Quantity]]*Table1[[#This Row],[Unit Price]]</f>
        <v>2876.02</v>
      </c>
    </row>
    <row r="114" spans="1:7" x14ac:dyDescent="0.35">
      <c r="A114" s="5" t="s">
        <v>135</v>
      </c>
      <c r="B114" s="2" t="s">
        <v>12</v>
      </c>
      <c r="C114" s="2" t="s">
        <v>56</v>
      </c>
      <c r="D114" s="2" t="s">
        <v>28</v>
      </c>
      <c r="E114" s="1">
        <v>14</v>
      </c>
      <c r="F114" s="13">
        <v>1063.4000000000001</v>
      </c>
      <c r="G114" s="14">
        <f>Table1[[#This Row],[Quantity]]*Table1[[#This Row],[Unit Price]]</f>
        <v>14887.600000000002</v>
      </c>
    </row>
    <row r="115" spans="1:7" x14ac:dyDescent="0.35">
      <c r="A115" s="6" t="s">
        <v>136</v>
      </c>
      <c r="B115" s="4" t="s">
        <v>41</v>
      </c>
      <c r="C115" s="4" t="s">
        <v>56</v>
      </c>
      <c r="D115" s="4" t="s">
        <v>49</v>
      </c>
      <c r="E115" s="3">
        <v>5</v>
      </c>
      <c r="F115" s="13">
        <v>48.37</v>
      </c>
      <c r="G115" s="14">
        <f>Table1[[#This Row],[Quantity]]*Table1[[#This Row],[Unit Price]]</f>
        <v>241.85</v>
      </c>
    </row>
    <row r="116" spans="1:7" x14ac:dyDescent="0.35">
      <c r="A116" s="5" t="s">
        <v>137</v>
      </c>
      <c r="B116" s="2" t="s">
        <v>35</v>
      </c>
      <c r="C116" s="2" t="s">
        <v>38</v>
      </c>
      <c r="D116" s="2" t="s">
        <v>18</v>
      </c>
      <c r="E116" s="1">
        <v>16</v>
      </c>
      <c r="F116" s="13">
        <v>197.6</v>
      </c>
      <c r="G116" s="14">
        <f>Table1[[#This Row],[Quantity]]*Table1[[#This Row],[Unit Price]]</f>
        <v>3161.6</v>
      </c>
    </row>
    <row r="117" spans="1:7" x14ac:dyDescent="0.35">
      <c r="A117" s="6" t="s">
        <v>126</v>
      </c>
      <c r="B117" s="4" t="s">
        <v>35</v>
      </c>
      <c r="C117" s="4" t="s">
        <v>56</v>
      </c>
      <c r="D117" s="4" t="s">
        <v>21</v>
      </c>
      <c r="E117" s="3">
        <v>3</v>
      </c>
      <c r="F117" s="13">
        <v>37.28</v>
      </c>
      <c r="G117" s="14">
        <f>Table1[[#This Row],[Quantity]]*Table1[[#This Row],[Unit Price]]</f>
        <v>111.84</v>
      </c>
    </row>
    <row r="118" spans="1:7" x14ac:dyDescent="0.35">
      <c r="A118" s="5" t="s">
        <v>138</v>
      </c>
      <c r="B118" s="2" t="s">
        <v>16</v>
      </c>
      <c r="C118" s="2" t="s">
        <v>73</v>
      </c>
      <c r="D118" s="2" t="s">
        <v>14</v>
      </c>
      <c r="E118" s="1">
        <v>20</v>
      </c>
      <c r="F118" s="13">
        <v>123</v>
      </c>
      <c r="G118" s="14">
        <f>Table1[[#This Row],[Quantity]]*Table1[[#This Row],[Unit Price]]</f>
        <v>2460</v>
      </c>
    </row>
    <row r="119" spans="1:7" x14ac:dyDescent="0.35">
      <c r="A119" s="6" t="s">
        <v>24</v>
      </c>
      <c r="B119" s="4" t="s">
        <v>8</v>
      </c>
      <c r="C119" s="4" t="s">
        <v>73</v>
      </c>
      <c r="D119" s="4" t="s">
        <v>23</v>
      </c>
      <c r="E119" s="3">
        <v>6</v>
      </c>
      <c r="F119" s="13">
        <v>88.78</v>
      </c>
      <c r="G119" s="14">
        <f>Table1[[#This Row],[Quantity]]*Table1[[#This Row],[Unit Price]]</f>
        <v>532.68000000000006</v>
      </c>
    </row>
    <row r="120" spans="1:7" x14ac:dyDescent="0.35">
      <c r="A120" s="5" t="s">
        <v>139</v>
      </c>
      <c r="B120" s="2" t="s">
        <v>35</v>
      </c>
      <c r="C120" s="2" t="s">
        <v>56</v>
      </c>
      <c r="D120" s="2" t="s">
        <v>10</v>
      </c>
      <c r="E120" s="1">
        <v>20</v>
      </c>
      <c r="F120" s="13">
        <v>134.19</v>
      </c>
      <c r="G120" s="14">
        <f>Table1[[#This Row],[Quantity]]*Table1[[#This Row],[Unit Price]]</f>
        <v>2683.8</v>
      </c>
    </row>
    <row r="121" spans="1:7" x14ac:dyDescent="0.35">
      <c r="A121" s="6" t="s">
        <v>140</v>
      </c>
      <c r="B121" s="4" t="s">
        <v>12</v>
      </c>
      <c r="C121" s="4" t="s">
        <v>9</v>
      </c>
      <c r="D121" s="4" t="s">
        <v>18</v>
      </c>
      <c r="E121" s="3">
        <v>7</v>
      </c>
      <c r="F121" s="13">
        <v>182.51</v>
      </c>
      <c r="G121" s="14">
        <f>Table1[[#This Row],[Quantity]]*Table1[[#This Row],[Unit Price]]</f>
        <v>1277.57</v>
      </c>
    </row>
    <row r="122" spans="1:7" x14ac:dyDescent="0.35">
      <c r="A122" s="5" t="s">
        <v>65</v>
      </c>
      <c r="B122" s="2" t="s">
        <v>41</v>
      </c>
      <c r="C122" s="2" t="s">
        <v>30</v>
      </c>
      <c r="D122" s="2" t="s">
        <v>21</v>
      </c>
      <c r="E122" s="1">
        <v>16</v>
      </c>
      <c r="F122" s="13">
        <v>40.14</v>
      </c>
      <c r="G122" s="14">
        <f>Table1[[#This Row],[Quantity]]*Table1[[#This Row],[Unit Price]]</f>
        <v>642.24</v>
      </c>
    </row>
    <row r="123" spans="1:7" x14ac:dyDescent="0.35">
      <c r="A123" s="6" t="s">
        <v>141</v>
      </c>
      <c r="B123" s="4" t="s">
        <v>41</v>
      </c>
      <c r="C123" s="4" t="s">
        <v>9</v>
      </c>
      <c r="D123" s="4" t="s">
        <v>32</v>
      </c>
      <c r="E123" s="3">
        <v>10</v>
      </c>
      <c r="F123" s="13">
        <v>329.57</v>
      </c>
      <c r="G123" s="14">
        <f>Table1[[#This Row],[Quantity]]*Table1[[#This Row],[Unit Price]]</f>
        <v>3295.7</v>
      </c>
    </row>
    <row r="124" spans="1:7" x14ac:dyDescent="0.35">
      <c r="A124" s="5" t="s">
        <v>142</v>
      </c>
      <c r="B124" s="2" t="s">
        <v>16</v>
      </c>
      <c r="C124" s="2" t="s">
        <v>27</v>
      </c>
      <c r="D124" s="2" t="s">
        <v>14</v>
      </c>
      <c r="E124" s="1">
        <v>12</v>
      </c>
      <c r="F124" s="13">
        <v>118.36</v>
      </c>
      <c r="G124" s="14">
        <f>Table1[[#This Row],[Quantity]]*Table1[[#This Row],[Unit Price]]</f>
        <v>1420.32</v>
      </c>
    </row>
    <row r="125" spans="1:7" x14ac:dyDescent="0.35">
      <c r="A125" s="6" t="s">
        <v>143</v>
      </c>
      <c r="B125" s="4" t="s">
        <v>35</v>
      </c>
      <c r="C125" s="4" t="s">
        <v>20</v>
      </c>
      <c r="D125" s="4" t="s">
        <v>18</v>
      </c>
      <c r="E125" s="3">
        <v>11</v>
      </c>
      <c r="F125" s="13">
        <v>193.1</v>
      </c>
      <c r="G125" s="14">
        <f>Table1[[#This Row],[Quantity]]*Table1[[#This Row],[Unit Price]]</f>
        <v>2124.1</v>
      </c>
    </row>
    <row r="126" spans="1:7" x14ac:dyDescent="0.35">
      <c r="A126" s="5" t="s">
        <v>144</v>
      </c>
      <c r="B126" s="2" t="s">
        <v>35</v>
      </c>
      <c r="C126" s="2" t="s">
        <v>27</v>
      </c>
      <c r="D126" s="2" t="s">
        <v>10</v>
      </c>
      <c r="E126" s="1">
        <v>8</v>
      </c>
      <c r="F126" s="13">
        <v>119.21</v>
      </c>
      <c r="G126" s="14">
        <f>Table1[[#This Row],[Quantity]]*Table1[[#This Row],[Unit Price]]</f>
        <v>953.68</v>
      </c>
    </row>
    <row r="127" spans="1:7" x14ac:dyDescent="0.35">
      <c r="A127" s="6" t="s">
        <v>98</v>
      </c>
      <c r="B127" s="4" t="s">
        <v>35</v>
      </c>
      <c r="C127" s="4" t="s">
        <v>13</v>
      </c>
      <c r="D127" s="4" t="s">
        <v>18</v>
      </c>
      <c r="E127" s="3">
        <v>6</v>
      </c>
      <c r="F127" s="13">
        <v>186.72</v>
      </c>
      <c r="G127" s="14">
        <f>Table1[[#This Row],[Quantity]]*Table1[[#This Row],[Unit Price]]</f>
        <v>1120.32</v>
      </c>
    </row>
    <row r="128" spans="1:7" x14ac:dyDescent="0.35">
      <c r="A128" s="5" t="s">
        <v>145</v>
      </c>
      <c r="B128" s="2" t="s">
        <v>35</v>
      </c>
      <c r="C128" s="2" t="s">
        <v>38</v>
      </c>
      <c r="D128" s="2" t="s">
        <v>18</v>
      </c>
      <c r="E128" s="1">
        <v>20</v>
      </c>
      <c r="F128" s="13">
        <v>190.36</v>
      </c>
      <c r="G128" s="14">
        <f>Table1[[#This Row],[Quantity]]*Table1[[#This Row],[Unit Price]]</f>
        <v>3807.2000000000003</v>
      </c>
    </row>
    <row r="129" spans="1:7" x14ac:dyDescent="0.35">
      <c r="A129" s="6" t="s">
        <v>146</v>
      </c>
      <c r="B129" s="4" t="s">
        <v>16</v>
      </c>
      <c r="C129" s="4" t="s">
        <v>27</v>
      </c>
      <c r="D129" s="4" t="s">
        <v>21</v>
      </c>
      <c r="E129" s="3">
        <v>12</v>
      </c>
      <c r="F129" s="13">
        <v>36.5</v>
      </c>
      <c r="G129" s="14">
        <f>Table1[[#This Row],[Quantity]]*Table1[[#This Row],[Unit Price]]</f>
        <v>438</v>
      </c>
    </row>
    <row r="130" spans="1:7" x14ac:dyDescent="0.35">
      <c r="A130" s="5" t="s">
        <v>147</v>
      </c>
      <c r="B130" s="2" t="s">
        <v>12</v>
      </c>
      <c r="C130" s="2" t="s">
        <v>36</v>
      </c>
      <c r="D130" s="2" t="s">
        <v>10</v>
      </c>
      <c r="E130" s="1">
        <v>2</v>
      </c>
      <c r="F130" s="13">
        <v>141.24</v>
      </c>
      <c r="G130" s="14">
        <f>Table1[[#This Row],[Quantity]]*Table1[[#This Row],[Unit Price]]</f>
        <v>282.48</v>
      </c>
    </row>
    <row r="131" spans="1:7" x14ac:dyDescent="0.35">
      <c r="A131" s="6" t="s">
        <v>50</v>
      </c>
      <c r="B131" s="4" t="s">
        <v>35</v>
      </c>
      <c r="C131" s="4" t="s">
        <v>36</v>
      </c>
      <c r="D131" s="4" t="s">
        <v>49</v>
      </c>
      <c r="E131" s="3">
        <v>4</v>
      </c>
      <c r="F131" s="13">
        <v>52.65</v>
      </c>
      <c r="G131" s="14">
        <f>Table1[[#This Row],[Quantity]]*Table1[[#This Row],[Unit Price]]</f>
        <v>210.6</v>
      </c>
    </row>
    <row r="132" spans="1:7" x14ac:dyDescent="0.35">
      <c r="A132" s="5" t="s">
        <v>148</v>
      </c>
      <c r="B132" s="2" t="s">
        <v>35</v>
      </c>
      <c r="C132" s="2" t="s">
        <v>73</v>
      </c>
      <c r="D132" s="2" t="s">
        <v>49</v>
      </c>
      <c r="E132" s="1">
        <v>15</v>
      </c>
      <c r="F132" s="13">
        <v>47.44</v>
      </c>
      <c r="G132" s="14">
        <f>Table1[[#This Row],[Quantity]]*Table1[[#This Row],[Unit Price]]</f>
        <v>711.59999999999991</v>
      </c>
    </row>
    <row r="133" spans="1:7" x14ac:dyDescent="0.35">
      <c r="A133" s="6" t="s">
        <v>89</v>
      </c>
      <c r="B133" s="4" t="s">
        <v>35</v>
      </c>
      <c r="C133" s="4" t="s">
        <v>73</v>
      </c>
      <c r="D133" s="4" t="s">
        <v>32</v>
      </c>
      <c r="E133" s="3">
        <v>3</v>
      </c>
      <c r="F133" s="13">
        <v>342.07</v>
      </c>
      <c r="G133" s="14">
        <f>Table1[[#This Row],[Quantity]]*Table1[[#This Row],[Unit Price]]</f>
        <v>1026.21</v>
      </c>
    </row>
    <row r="134" spans="1:7" x14ac:dyDescent="0.35">
      <c r="A134" s="5" t="s">
        <v>149</v>
      </c>
      <c r="B134" s="2" t="s">
        <v>12</v>
      </c>
      <c r="C134" s="2" t="s">
        <v>9</v>
      </c>
      <c r="D134" s="2" t="s">
        <v>39</v>
      </c>
      <c r="E134" s="1">
        <v>5</v>
      </c>
      <c r="F134" s="13">
        <v>83.92</v>
      </c>
      <c r="G134" s="14">
        <f>Table1[[#This Row],[Quantity]]*Table1[[#This Row],[Unit Price]]</f>
        <v>419.6</v>
      </c>
    </row>
    <row r="135" spans="1:7" x14ac:dyDescent="0.35">
      <c r="A135" s="6" t="s">
        <v>150</v>
      </c>
      <c r="B135" s="4" t="s">
        <v>8</v>
      </c>
      <c r="C135" s="4" t="s">
        <v>17</v>
      </c>
      <c r="D135" s="4" t="s">
        <v>32</v>
      </c>
      <c r="E135" s="3">
        <v>18</v>
      </c>
      <c r="F135" s="13">
        <v>367.46</v>
      </c>
      <c r="G135" s="14">
        <f>Table1[[#This Row],[Quantity]]*Table1[[#This Row],[Unit Price]]</f>
        <v>6614.28</v>
      </c>
    </row>
    <row r="136" spans="1:7" x14ac:dyDescent="0.35">
      <c r="A136" s="5" t="s">
        <v>151</v>
      </c>
      <c r="B136" s="2" t="s">
        <v>12</v>
      </c>
      <c r="C136" s="2" t="s">
        <v>38</v>
      </c>
      <c r="D136" s="2" t="s">
        <v>21</v>
      </c>
      <c r="E136" s="1">
        <v>17</v>
      </c>
      <c r="F136" s="13">
        <v>38.07</v>
      </c>
      <c r="G136" s="14">
        <f>Table1[[#This Row],[Quantity]]*Table1[[#This Row],[Unit Price]]</f>
        <v>647.19000000000005</v>
      </c>
    </row>
    <row r="137" spans="1:7" x14ac:dyDescent="0.35">
      <c r="A137" s="6" t="s">
        <v>152</v>
      </c>
      <c r="B137" s="4" t="s">
        <v>35</v>
      </c>
      <c r="C137" s="4" t="s">
        <v>38</v>
      </c>
      <c r="D137" s="4" t="s">
        <v>25</v>
      </c>
      <c r="E137" s="3">
        <v>10</v>
      </c>
      <c r="F137" s="13">
        <v>303.10000000000002</v>
      </c>
      <c r="G137" s="14">
        <f>Table1[[#This Row],[Quantity]]*Table1[[#This Row],[Unit Price]]</f>
        <v>3031</v>
      </c>
    </row>
    <row r="138" spans="1:7" x14ac:dyDescent="0.35">
      <c r="A138" s="5" t="s">
        <v>153</v>
      </c>
      <c r="B138" s="2" t="s">
        <v>12</v>
      </c>
      <c r="C138" s="2" t="s">
        <v>13</v>
      </c>
      <c r="D138" s="2" t="s">
        <v>21</v>
      </c>
      <c r="E138" s="1">
        <v>7</v>
      </c>
      <c r="F138" s="13">
        <v>37.159999999999997</v>
      </c>
      <c r="G138" s="14">
        <f>Table1[[#This Row],[Quantity]]*Table1[[#This Row],[Unit Price]]</f>
        <v>260.12</v>
      </c>
    </row>
    <row r="139" spans="1:7" x14ac:dyDescent="0.35">
      <c r="A139" s="6" t="s">
        <v>154</v>
      </c>
      <c r="B139" s="4" t="s">
        <v>16</v>
      </c>
      <c r="C139" s="4" t="s">
        <v>17</v>
      </c>
      <c r="D139" s="4" t="s">
        <v>39</v>
      </c>
      <c r="E139" s="3">
        <v>18</v>
      </c>
      <c r="F139" s="13">
        <v>72.290000000000006</v>
      </c>
      <c r="G139" s="14">
        <f>Table1[[#This Row],[Quantity]]*Table1[[#This Row],[Unit Price]]</f>
        <v>1301.22</v>
      </c>
    </row>
    <row r="140" spans="1:7" x14ac:dyDescent="0.35">
      <c r="A140" s="5" t="s">
        <v>155</v>
      </c>
      <c r="B140" s="2" t="s">
        <v>41</v>
      </c>
      <c r="C140" s="2" t="s">
        <v>73</v>
      </c>
      <c r="D140" s="2" t="s">
        <v>14</v>
      </c>
      <c r="E140" s="1">
        <v>16</v>
      </c>
      <c r="F140" s="13">
        <v>114.03</v>
      </c>
      <c r="G140" s="14">
        <f>Table1[[#This Row],[Quantity]]*Table1[[#This Row],[Unit Price]]</f>
        <v>1824.48</v>
      </c>
    </row>
    <row r="141" spans="1:7" x14ac:dyDescent="0.35">
      <c r="A141" s="6" t="s">
        <v>156</v>
      </c>
      <c r="B141" s="4" t="s">
        <v>35</v>
      </c>
      <c r="C141" s="4" t="s">
        <v>27</v>
      </c>
      <c r="D141" s="4" t="s">
        <v>49</v>
      </c>
      <c r="E141" s="3">
        <v>3</v>
      </c>
      <c r="F141" s="13">
        <v>50.84</v>
      </c>
      <c r="G141" s="14">
        <f>Table1[[#This Row],[Quantity]]*Table1[[#This Row],[Unit Price]]</f>
        <v>152.52000000000001</v>
      </c>
    </row>
    <row r="142" spans="1:7" x14ac:dyDescent="0.35">
      <c r="A142" s="5" t="s">
        <v>157</v>
      </c>
      <c r="B142" s="2" t="s">
        <v>12</v>
      </c>
      <c r="C142" s="2" t="s">
        <v>17</v>
      </c>
      <c r="D142" s="2" t="s">
        <v>25</v>
      </c>
      <c r="E142" s="1">
        <v>4</v>
      </c>
      <c r="F142" s="13">
        <v>301.66000000000003</v>
      </c>
      <c r="G142" s="14">
        <f>Table1[[#This Row],[Quantity]]*Table1[[#This Row],[Unit Price]]</f>
        <v>1206.6400000000001</v>
      </c>
    </row>
    <row r="143" spans="1:7" x14ac:dyDescent="0.35">
      <c r="A143" s="6" t="s">
        <v>158</v>
      </c>
      <c r="B143" s="4" t="s">
        <v>16</v>
      </c>
      <c r="C143" s="4" t="s">
        <v>27</v>
      </c>
      <c r="D143" s="4" t="s">
        <v>39</v>
      </c>
      <c r="E143" s="3">
        <v>3</v>
      </c>
      <c r="F143" s="13">
        <v>72.040000000000006</v>
      </c>
      <c r="G143" s="14">
        <f>Table1[[#This Row],[Quantity]]*Table1[[#This Row],[Unit Price]]</f>
        <v>216.12</v>
      </c>
    </row>
    <row r="144" spans="1:7" x14ac:dyDescent="0.35">
      <c r="A144" s="5" t="s">
        <v>159</v>
      </c>
      <c r="B144" s="2" t="s">
        <v>12</v>
      </c>
      <c r="C144" s="2" t="s">
        <v>38</v>
      </c>
      <c r="D144" s="2" t="s">
        <v>10</v>
      </c>
      <c r="E144" s="1">
        <v>15</v>
      </c>
      <c r="F144" s="13">
        <v>119.31</v>
      </c>
      <c r="G144" s="14">
        <f>Table1[[#This Row],[Quantity]]*Table1[[#This Row],[Unit Price]]</f>
        <v>1789.65</v>
      </c>
    </row>
    <row r="145" spans="1:7" x14ac:dyDescent="0.35">
      <c r="A145" s="6" t="s">
        <v>160</v>
      </c>
      <c r="B145" s="4" t="s">
        <v>35</v>
      </c>
      <c r="C145" s="4" t="s">
        <v>20</v>
      </c>
      <c r="D145" s="4" t="s">
        <v>10</v>
      </c>
      <c r="E145" s="3">
        <v>17</v>
      </c>
      <c r="F145" s="13">
        <v>130.03</v>
      </c>
      <c r="G145" s="14">
        <f>Table1[[#This Row],[Quantity]]*Table1[[#This Row],[Unit Price]]</f>
        <v>2210.5100000000002</v>
      </c>
    </row>
    <row r="146" spans="1:7" x14ac:dyDescent="0.35">
      <c r="A146" s="5" t="s">
        <v>161</v>
      </c>
      <c r="B146" s="2" t="s">
        <v>8</v>
      </c>
      <c r="C146" s="2" t="s">
        <v>38</v>
      </c>
      <c r="D146" s="2" t="s">
        <v>28</v>
      </c>
      <c r="E146" s="1">
        <v>14</v>
      </c>
      <c r="F146" s="13">
        <v>1045.8599999999999</v>
      </c>
      <c r="G146" s="14">
        <f>Table1[[#This Row],[Quantity]]*Table1[[#This Row],[Unit Price]]</f>
        <v>14642.039999999999</v>
      </c>
    </row>
    <row r="147" spans="1:7" x14ac:dyDescent="0.35">
      <c r="A147" s="6" t="s">
        <v>162</v>
      </c>
      <c r="B147" s="4" t="s">
        <v>35</v>
      </c>
      <c r="C147" s="4" t="s">
        <v>9</v>
      </c>
      <c r="D147" s="4" t="s">
        <v>32</v>
      </c>
      <c r="E147" s="3">
        <v>8</v>
      </c>
      <c r="F147" s="13">
        <v>381.24</v>
      </c>
      <c r="G147" s="14">
        <f>Table1[[#This Row],[Quantity]]*Table1[[#This Row],[Unit Price]]</f>
        <v>3049.92</v>
      </c>
    </row>
    <row r="148" spans="1:7" x14ac:dyDescent="0.35">
      <c r="A148" s="5" t="s">
        <v>112</v>
      </c>
      <c r="B148" s="2" t="s">
        <v>12</v>
      </c>
      <c r="C148" s="2" t="s">
        <v>9</v>
      </c>
      <c r="D148" s="2" t="s">
        <v>10</v>
      </c>
      <c r="E148" s="1">
        <v>19</v>
      </c>
      <c r="F148" s="13">
        <v>117.14</v>
      </c>
      <c r="G148" s="14">
        <f>Table1[[#This Row],[Quantity]]*Table1[[#This Row],[Unit Price]]</f>
        <v>2225.66</v>
      </c>
    </row>
    <row r="149" spans="1:7" x14ac:dyDescent="0.35">
      <c r="A149" s="6" t="s">
        <v>163</v>
      </c>
      <c r="B149" s="4" t="s">
        <v>41</v>
      </c>
      <c r="C149" s="4" t="s">
        <v>30</v>
      </c>
      <c r="D149" s="4" t="s">
        <v>49</v>
      </c>
      <c r="E149" s="3">
        <v>9</v>
      </c>
      <c r="F149" s="13">
        <v>45.88</v>
      </c>
      <c r="G149" s="14">
        <f>Table1[[#This Row],[Quantity]]*Table1[[#This Row],[Unit Price]]</f>
        <v>412.92</v>
      </c>
    </row>
    <row r="150" spans="1:7" x14ac:dyDescent="0.35">
      <c r="A150" s="5" t="s">
        <v>164</v>
      </c>
      <c r="B150" s="2" t="s">
        <v>41</v>
      </c>
      <c r="C150" s="2" t="s">
        <v>73</v>
      </c>
      <c r="D150" s="2" t="s">
        <v>32</v>
      </c>
      <c r="E150" s="1">
        <v>16</v>
      </c>
      <c r="F150" s="13">
        <v>338.39</v>
      </c>
      <c r="G150" s="14">
        <f>Table1[[#This Row],[Quantity]]*Table1[[#This Row],[Unit Price]]</f>
        <v>5414.24</v>
      </c>
    </row>
    <row r="151" spans="1:7" x14ac:dyDescent="0.35">
      <c r="A151" s="6" t="s">
        <v>165</v>
      </c>
      <c r="B151" s="4" t="s">
        <v>35</v>
      </c>
      <c r="C151" s="4" t="s">
        <v>13</v>
      </c>
      <c r="D151" s="4" t="s">
        <v>39</v>
      </c>
      <c r="E151" s="3">
        <v>11</v>
      </c>
      <c r="F151" s="13">
        <v>77.599999999999994</v>
      </c>
      <c r="G151" s="14">
        <f>Table1[[#This Row],[Quantity]]*Table1[[#This Row],[Unit Price]]</f>
        <v>853.59999999999991</v>
      </c>
    </row>
    <row r="152" spans="1:7" x14ac:dyDescent="0.35">
      <c r="A152" s="5" t="s">
        <v>166</v>
      </c>
      <c r="B152" s="2" t="s">
        <v>35</v>
      </c>
      <c r="C152" s="2" t="s">
        <v>20</v>
      </c>
      <c r="D152" s="2" t="s">
        <v>18</v>
      </c>
      <c r="E152" s="1">
        <v>2</v>
      </c>
      <c r="F152" s="13">
        <v>197.2</v>
      </c>
      <c r="G152" s="14">
        <f>Table1[[#This Row],[Quantity]]*Table1[[#This Row],[Unit Price]]</f>
        <v>394.4</v>
      </c>
    </row>
    <row r="153" spans="1:7" x14ac:dyDescent="0.35">
      <c r="A153" s="6" t="s">
        <v>167</v>
      </c>
      <c r="B153" s="4" t="s">
        <v>35</v>
      </c>
      <c r="C153" s="4" t="s">
        <v>56</v>
      </c>
      <c r="D153" s="4" t="s">
        <v>32</v>
      </c>
      <c r="E153" s="3">
        <v>13</v>
      </c>
      <c r="F153" s="13">
        <v>374.47</v>
      </c>
      <c r="G153" s="14">
        <f>Table1[[#This Row],[Quantity]]*Table1[[#This Row],[Unit Price]]</f>
        <v>4868.1100000000006</v>
      </c>
    </row>
    <row r="154" spans="1:7" x14ac:dyDescent="0.35">
      <c r="A154" s="5" t="s">
        <v>168</v>
      </c>
      <c r="B154" s="2" t="s">
        <v>12</v>
      </c>
      <c r="C154" s="2" t="s">
        <v>73</v>
      </c>
      <c r="D154" s="2" t="s">
        <v>25</v>
      </c>
      <c r="E154" s="1">
        <v>2</v>
      </c>
      <c r="F154" s="13">
        <v>280.32</v>
      </c>
      <c r="G154" s="14">
        <f>Table1[[#This Row],[Quantity]]*Table1[[#This Row],[Unit Price]]</f>
        <v>560.64</v>
      </c>
    </row>
    <row r="155" spans="1:7" x14ac:dyDescent="0.35">
      <c r="A155" s="6" t="s">
        <v>31</v>
      </c>
      <c r="B155" s="4" t="s">
        <v>12</v>
      </c>
      <c r="C155" s="4" t="s">
        <v>73</v>
      </c>
      <c r="D155" s="4" t="s">
        <v>49</v>
      </c>
      <c r="E155" s="3">
        <v>2</v>
      </c>
      <c r="F155" s="13">
        <v>46.09</v>
      </c>
      <c r="G155" s="14">
        <f>Table1[[#This Row],[Quantity]]*Table1[[#This Row],[Unit Price]]</f>
        <v>92.18</v>
      </c>
    </row>
    <row r="156" spans="1:7" x14ac:dyDescent="0.35">
      <c r="A156" s="5" t="s">
        <v>169</v>
      </c>
      <c r="B156" s="2" t="s">
        <v>16</v>
      </c>
      <c r="C156" s="2" t="s">
        <v>27</v>
      </c>
      <c r="D156" s="2" t="s">
        <v>49</v>
      </c>
      <c r="E156" s="1">
        <v>16</v>
      </c>
      <c r="F156" s="13">
        <v>45.29</v>
      </c>
      <c r="G156" s="14">
        <f>Table1[[#This Row],[Quantity]]*Table1[[#This Row],[Unit Price]]</f>
        <v>724.64</v>
      </c>
    </row>
    <row r="157" spans="1:7" x14ac:dyDescent="0.35">
      <c r="A157" s="6" t="s">
        <v>170</v>
      </c>
      <c r="B157" s="4" t="s">
        <v>12</v>
      </c>
      <c r="C157" s="4" t="s">
        <v>17</v>
      </c>
      <c r="D157" s="4" t="s">
        <v>39</v>
      </c>
      <c r="E157" s="3">
        <v>10</v>
      </c>
      <c r="F157" s="13">
        <v>79.8</v>
      </c>
      <c r="G157" s="14">
        <f>Table1[[#This Row],[Quantity]]*Table1[[#This Row],[Unit Price]]</f>
        <v>798</v>
      </c>
    </row>
    <row r="158" spans="1:7" x14ac:dyDescent="0.35">
      <c r="A158" s="5" t="s">
        <v>171</v>
      </c>
      <c r="B158" s="2" t="s">
        <v>41</v>
      </c>
      <c r="C158" s="2" t="s">
        <v>13</v>
      </c>
      <c r="D158" s="2" t="s">
        <v>21</v>
      </c>
      <c r="E158" s="1">
        <v>4</v>
      </c>
      <c r="F158" s="13">
        <v>38.700000000000003</v>
      </c>
      <c r="G158" s="14">
        <f>Table1[[#This Row],[Quantity]]*Table1[[#This Row],[Unit Price]]</f>
        <v>154.80000000000001</v>
      </c>
    </row>
    <row r="159" spans="1:7" x14ac:dyDescent="0.35">
      <c r="A159" s="6" t="s">
        <v>172</v>
      </c>
      <c r="B159" s="4" t="s">
        <v>16</v>
      </c>
      <c r="C159" s="4" t="s">
        <v>73</v>
      </c>
      <c r="D159" s="4" t="s">
        <v>10</v>
      </c>
      <c r="E159" s="3">
        <v>17</v>
      </c>
      <c r="F159" s="13">
        <v>134.30000000000001</v>
      </c>
      <c r="G159" s="14">
        <f>Table1[[#This Row],[Quantity]]*Table1[[#This Row],[Unit Price]]</f>
        <v>2283.1000000000004</v>
      </c>
    </row>
    <row r="160" spans="1:7" x14ac:dyDescent="0.35">
      <c r="A160" s="5" t="s">
        <v>173</v>
      </c>
      <c r="B160" s="2" t="s">
        <v>41</v>
      </c>
      <c r="C160" s="2" t="s">
        <v>73</v>
      </c>
      <c r="D160" s="2" t="s">
        <v>21</v>
      </c>
      <c r="E160" s="1">
        <v>15</v>
      </c>
      <c r="F160" s="13">
        <v>39.4</v>
      </c>
      <c r="G160" s="14">
        <f>Table1[[#This Row],[Quantity]]*Table1[[#This Row],[Unit Price]]</f>
        <v>591</v>
      </c>
    </row>
    <row r="161" spans="1:7" x14ac:dyDescent="0.35">
      <c r="A161" s="6" t="s">
        <v>174</v>
      </c>
      <c r="B161" s="4" t="s">
        <v>16</v>
      </c>
      <c r="C161" s="4" t="s">
        <v>38</v>
      </c>
      <c r="D161" s="4" t="s">
        <v>18</v>
      </c>
      <c r="E161" s="3">
        <v>5</v>
      </c>
      <c r="F161" s="13">
        <v>213.49</v>
      </c>
      <c r="G161" s="14">
        <f>Table1[[#This Row],[Quantity]]*Table1[[#This Row],[Unit Price]]</f>
        <v>1067.45</v>
      </c>
    </row>
    <row r="162" spans="1:7" x14ac:dyDescent="0.35">
      <c r="A162" s="5" t="s">
        <v>140</v>
      </c>
      <c r="B162" s="2" t="s">
        <v>41</v>
      </c>
      <c r="C162" s="2" t="s">
        <v>56</v>
      </c>
      <c r="D162" s="2" t="s">
        <v>18</v>
      </c>
      <c r="E162" s="1">
        <v>9</v>
      </c>
      <c r="F162" s="13">
        <v>211.76</v>
      </c>
      <c r="G162" s="14">
        <f>Table1[[#This Row],[Quantity]]*Table1[[#This Row],[Unit Price]]</f>
        <v>1905.84</v>
      </c>
    </row>
    <row r="163" spans="1:7" x14ac:dyDescent="0.35">
      <c r="A163" s="6" t="s">
        <v>175</v>
      </c>
      <c r="B163" s="4" t="s">
        <v>35</v>
      </c>
      <c r="C163" s="4" t="s">
        <v>38</v>
      </c>
      <c r="D163" s="4" t="s">
        <v>14</v>
      </c>
      <c r="E163" s="3">
        <v>16</v>
      </c>
      <c r="F163" s="13">
        <v>127.69</v>
      </c>
      <c r="G163" s="14">
        <f>Table1[[#This Row],[Quantity]]*Table1[[#This Row],[Unit Price]]</f>
        <v>2043.04</v>
      </c>
    </row>
    <row r="164" spans="1:7" x14ac:dyDescent="0.35">
      <c r="A164" s="5" t="s">
        <v>176</v>
      </c>
      <c r="B164" s="2" t="s">
        <v>12</v>
      </c>
      <c r="C164" s="2" t="s">
        <v>73</v>
      </c>
      <c r="D164" s="2" t="s">
        <v>23</v>
      </c>
      <c r="E164" s="1">
        <v>11</v>
      </c>
      <c r="F164" s="13">
        <v>89.92</v>
      </c>
      <c r="G164" s="14">
        <f>Table1[[#This Row],[Quantity]]*Table1[[#This Row],[Unit Price]]</f>
        <v>989.12</v>
      </c>
    </row>
    <row r="165" spans="1:7" x14ac:dyDescent="0.35">
      <c r="A165" s="6" t="s">
        <v>177</v>
      </c>
      <c r="B165" s="4" t="s">
        <v>41</v>
      </c>
      <c r="C165" s="4" t="s">
        <v>73</v>
      </c>
      <c r="D165" s="4" t="s">
        <v>23</v>
      </c>
      <c r="E165" s="3">
        <v>7</v>
      </c>
      <c r="F165" s="13">
        <v>97.56</v>
      </c>
      <c r="G165" s="14">
        <f>Table1[[#This Row],[Quantity]]*Table1[[#This Row],[Unit Price]]</f>
        <v>682.92000000000007</v>
      </c>
    </row>
    <row r="166" spans="1:7" x14ac:dyDescent="0.35">
      <c r="A166" s="5" t="s">
        <v>178</v>
      </c>
      <c r="B166" s="2" t="s">
        <v>12</v>
      </c>
      <c r="C166" s="2" t="s">
        <v>20</v>
      </c>
      <c r="D166" s="2" t="s">
        <v>21</v>
      </c>
      <c r="E166" s="1">
        <v>14</v>
      </c>
      <c r="F166" s="13">
        <v>35.44</v>
      </c>
      <c r="G166" s="14">
        <f>Table1[[#This Row],[Quantity]]*Table1[[#This Row],[Unit Price]]</f>
        <v>496.15999999999997</v>
      </c>
    </row>
    <row r="167" spans="1:7" x14ac:dyDescent="0.35">
      <c r="A167" s="6" t="s">
        <v>131</v>
      </c>
      <c r="B167" s="4" t="s">
        <v>41</v>
      </c>
      <c r="C167" s="4" t="s">
        <v>20</v>
      </c>
      <c r="D167" s="4" t="s">
        <v>39</v>
      </c>
      <c r="E167" s="3">
        <v>16</v>
      </c>
      <c r="F167" s="13">
        <v>86.34</v>
      </c>
      <c r="G167" s="14">
        <f>Table1[[#This Row],[Quantity]]*Table1[[#This Row],[Unit Price]]</f>
        <v>1381.44</v>
      </c>
    </row>
    <row r="168" spans="1:7" x14ac:dyDescent="0.35">
      <c r="A168" s="5" t="s">
        <v>179</v>
      </c>
      <c r="B168" s="2" t="s">
        <v>12</v>
      </c>
      <c r="C168" s="2" t="s">
        <v>38</v>
      </c>
      <c r="D168" s="2" t="s">
        <v>23</v>
      </c>
      <c r="E168" s="1">
        <v>4</v>
      </c>
      <c r="F168" s="13">
        <v>95.66</v>
      </c>
      <c r="G168" s="14">
        <f>Table1[[#This Row],[Quantity]]*Table1[[#This Row],[Unit Price]]</f>
        <v>382.64</v>
      </c>
    </row>
    <row r="169" spans="1:7" x14ac:dyDescent="0.35">
      <c r="A169" s="6" t="s">
        <v>180</v>
      </c>
      <c r="B169" s="4" t="s">
        <v>8</v>
      </c>
      <c r="C169" s="4" t="s">
        <v>30</v>
      </c>
      <c r="D169" s="4" t="s">
        <v>49</v>
      </c>
      <c r="E169" s="3">
        <v>1</v>
      </c>
      <c r="F169" s="13">
        <v>51.18</v>
      </c>
      <c r="G169" s="14">
        <f>Table1[[#This Row],[Quantity]]*Table1[[#This Row],[Unit Price]]</f>
        <v>51.18</v>
      </c>
    </row>
    <row r="170" spans="1:7" x14ac:dyDescent="0.35">
      <c r="A170" s="5" t="s">
        <v>181</v>
      </c>
      <c r="B170" s="2" t="s">
        <v>16</v>
      </c>
      <c r="C170" s="2" t="s">
        <v>13</v>
      </c>
      <c r="D170" s="2" t="s">
        <v>49</v>
      </c>
      <c r="E170" s="1">
        <v>9</v>
      </c>
      <c r="F170" s="13">
        <v>47.42</v>
      </c>
      <c r="G170" s="14">
        <f>Table1[[#This Row],[Quantity]]*Table1[[#This Row],[Unit Price]]</f>
        <v>426.78000000000003</v>
      </c>
    </row>
    <row r="171" spans="1:7" x14ac:dyDescent="0.35">
      <c r="A171" s="6" t="s">
        <v>182</v>
      </c>
      <c r="B171" s="4" t="s">
        <v>41</v>
      </c>
      <c r="C171" s="4" t="s">
        <v>13</v>
      </c>
      <c r="D171" s="4" t="s">
        <v>23</v>
      </c>
      <c r="E171" s="3">
        <v>18</v>
      </c>
      <c r="F171" s="13">
        <v>86.86</v>
      </c>
      <c r="G171" s="14">
        <f>Table1[[#This Row],[Quantity]]*Table1[[#This Row],[Unit Price]]</f>
        <v>1563.48</v>
      </c>
    </row>
    <row r="172" spans="1:7" x14ac:dyDescent="0.35">
      <c r="A172" s="5" t="s">
        <v>183</v>
      </c>
      <c r="B172" s="2" t="s">
        <v>41</v>
      </c>
      <c r="C172" s="2" t="s">
        <v>30</v>
      </c>
      <c r="D172" s="2" t="s">
        <v>28</v>
      </c>
      <c r="E172" s="1">
        <v>20</v>
      </c>
      <c r="F172" s="13">
        <v>912.77</v>
      </c>
      <c r="G172" s="14">
        <f>Table1[[#This Row],[Quantity]]*Table1[[#This Row],[Unit Price]]</f>
        <v>18255.400000000001</v>
      </c>
    </row>
    <row r="173" spans="1:7" x14ac:dyDescent="0.35">
      <c r="A173" s="6" t="s">
        <v>184</v>
      </c>
      <c r="B173" s="4" t="s">
        <v>35</v>
      </c>
      <c r="C173" s="4" t="s">
        <v>17</v>
      </c>
      <c r="D173" s="4" t="s">
        <v>32</v>
      </c>
      <c r="E173" s="3">
        <v>14</v>
      </c>
      <c r="F173" s="13">
        <v>382.39</v>
      </c>
      <c r="G173" s="14">
        <f>Table1[[#This Row],[Quantity]]*Table1[[#This Row],[Unit Price]]</f>
        <v>5353.46</v>
      </c>
    </row>
    <row r="174" spans="1:7" x14ac:dyDescent="0.35">
      <c r="A174" s="5" t="s">
        <v>185</v>
      </c>
      <c r="B174" s="2" t="s">
        <v>8</v>
      </c>
      <c r="C174" s="2" t="s">
        <v>73</v>
      </c>
      <c r="D174" s="2" t="s">
        <v>39</v>
      </c>
      <c r="E174" s="1">
        <v>10</v>
      </c>
      <c r="F174" s="13">
        <v>85.37</v>
      </c>
      <c r="G174" s="14">
        <f>Table1[[#This Row],[Quantity]]*Table1[[#This Row],[Unit Price]]</f>
        <v>853.7</v>
      </c>
    </row>
    <row r="175" spans="1:7" x14ac:dyDescent="0.35">
      <c r="A175" s="6" t="s">
        <v>186</v>
      </c>
      <c r="B175" s="4" t="s">
        <v>35</v>
      </c>
      <c r="C175" s="4" t="s">
        <v>9</v>
      </c>
      <c r="D175" s="4" t="s">
        <v>10</v>
      </c>
      <c r="E175" s="3">
        <v>12</v>
      </c>
      <c r="F175" s="13">
        <v>125.77</v>
      </c>
      <c r="G175" s="14">
        <f>Table1[[#This Row],[Quantity]]*Table1[[#This Row],[Unit Price]]</f>
        <v>1509.24</v>
      </c>
    </row>
    <row r="176" spans="1:7" x14ac:dyDescent="0.35">
      <c r="A176" s="5" t="s">
        <v>187</v>
      </c>
      <c r="B176" s="2" t="s">
        <v>16</v>
      </c>
      <c r="C176" s="2" t="s">
        <v>30</v>
      </c>
      <c r="D176" s="2" t="s">
        <v>25</v>
      </c>
      <c r="E176" s="1">
        <v>19</v>
      </c>
      <c r="F176" s="13">
        <v>309.87</v>
      </c>
      <c r="G176" s="14">
        <f>Table1[[#This Row],[Quantity]]*Table1[[#This Row],[Unit Price]]</f>
        <v>5887.53</v>
      </c>
    </row>
    <row r="177" spans="1:7" x14ac:dyDescent="0.35">
      <c r="A177" s="6" t="s">
        <v>188</v>
      </c>
      <c r="B177" s="4" t="s">
        <v>16</v>
      </c>
      <c r="C177" s="4" t="s">
        <v>36</v>
      </c>
      <c r="D177" s="4" t="s">
        <v>32</v>
      </c>
      <c r="E177" s="3">
        <v>20</v>
      </c>
      <c r="F177" s="13">
        <v>374.88</v>
      </c>
      <c r="G177" s="14">
        <f>Table1[[#This Row],[Quantity]]*Table1[[#This Row],[Unit Price]]</f>
        <v>7497.6</v>
      </c>
    </row>
    <row r="178" spans="1:7" x14ac:dyDescent="0.35">
      <c r="A178" s="5" t="s">
        <v>189</v>
      </c>
      <c r="B178" s="2" t="s">
        <v>16</v>
      </c>
      <c r="C178" s="2" t="s">
        <v>73</v>
      </c>
      <c r="D178" s="2" t="s">
        <v>14</v>
      </c>
      <c r="E178" s="1">
        <v>5</v>
      </c>
      <c r="F178" s="13">
        <v>112.63</v>
      </c>
      <c r="G178" s="14">
        <f>Table1[[#This Row],[Quantity]]*Table1[[#This Row],[Unit Price]]</f>
        <v>563.15</v>
      </c>
    </row>
    <row r="179" spans="1:7" x14ac:dyDescent="0.35">
      <c r="A179" s="6" t="s">
        <v>190</v>
      </c>
      <c r="B179" s="4" t="s">
        <v>35</v>
      </c>
      <c r="C179" s="4" t="s">
        <v>73</v>
      </c>
      <c r="D179" s="4" t="s">
        <v>10</v>
      </c>
      <c r="E179" s="3">
        <v>1</v>
      </c>
      <c r="F179" s="13">
        <v>139.29</v>
      </c>
      <c r="G179" s="14">
        <f>Table1[[#This Row],[Quantity]]*Table1[[#This Row],[Unit Price]]</f>
        <v>139.29</v>
      </c>
    </row>
    <row r="180" spans="1:7" x14ac:dyDescent="0.35">
      <c r="A180" s="5" t="s">
        <v>191</v>
      </c>
      <c r="B180" s="2" t="s">
        <v>35</v>
      </c>
      <c r="C180" s="2" t="s">
        <v>30</v>
      </c>
      <c r="D180" s="2" t="s">
        <v>39</v>
      </c>
      <c r="E180" s="1">
        <v>3</v>
      </c>
      <c r="F180" s="13">
        <v>78.08</v>
      </c>
      <c r="G180" s="14">
        <f>Table1[[#This Row],[Quantity]]*Table1[[#This Row],[Unit Price]]</f>
        <v>234.24</v>
      </c>
    </row>
    <row r="181" spans="1:7" x14ac:dyDescent="0.35">
      <c r="A181" s="6" t="s">
        <v>192</v>
      </c>
      <c r="B181" s="4" t="s">
        <v>12</v>
      </c>
      <c r="C181" s="4" t="s">
        <v>27</v>
      </c>
      <c r="D181" s="4" t="s">
        <v>25</v>
      </c>
      <c r="E181" s="3">
        <v>9</v>
      </c>
      <c r="F181" s="13">
        <v>296.42</v>
      </c>
      <c r="G181" s="14">
        <f>Table1[[#This Row],[Quantity]]*Table1[[#This Row],[Unit Price]]</f>
        <v>2667.78</v>
      </c>
    </row>
    <row r="182" spans="1:7" x14ac:dyDescent="0.35">
      <c r="A182" s="5" t="s">
        <v>193</v>
      </c>
      <c r="B182" s="2" t="s">
        <v>16</v>
      </c>
      <c r="C182" s="2" t="s">
        <v>20</v>
      </c>
      <c r="D182" s="2" t="s">
        <v>49</v>
      </c>
      <c r="E182" s="1">
        <v>4</v>
      </c>
      <c r="F182" s="13">
        <v>46.42</v>
      </c>
      <c r="G182" s="14">
        <f>Table1[[#This Row],[Quantity]]*Table1[[#This Row],[Unit Price]]</f>
        <v>185.68</v>
      </c>
    </row>
    <row r="183" spans="1:7" x14ac:dyDescent="0.35">
      <c r="A183" s="6" t="s">
        <v>194</v>
      </c>
      <c r="B183" s="4" t="s">
        <v>35</v>
      </c>
      <c r="C183" s="4" t="s">
        <v>38</v>
      </c>
      <c r="D183" s="4" t="s">
        <v>10</v>
      </c>
      <c r="E183" s="3">
        <v>10</v>
      </c>
      <c r="F183" s="13">
        <v>116.67</v>
      </c>
      <c r="G183" s="14">
        <f>Table1[[#This Row],[Quantity]]*Table1[[#This Row],[Unit Price]]</f>
        <v>1166.7</v>
      </c>
    </row>
    <row r="184" spans="1:7" x14ac:dyDescent="0.35">
      <c r="A184" s="5" t="s">
        <v>195</v>
      </c>
      <c r="B184" s="2" t="s">
        <v>41</v>
      </c>
      <c r="C184" s="2" t="s">
        <v>27</v>
      </c>
      <c r="D184" s="2" t="s">
        <v>28</v>
      </c>
      <c r="E184" s="1">
        <v>19</v>
      </c>
      <c r="F184" s="13">
        <v>1071.94</v>
      </c>
      <c r="G184" s="14">
        <f>Table1[[#This Row],[Quantity]]*Table1[[#This Row],[Unit Price]]</f>
        <v>20366.86</v>
      </c>
    </row>
    <row r="185" spans="1:7" x14ac:dyDescent="0.35">
      <c r="A185" s="6" t="s">
        <v>196</v>
      </c>
      <c r="B185" s="4" t="s">
        <v>12</v>
      </c>
      <c r="C185" s="4" t="s">
        <v>73</v>
      </c>
      <c r="D185" s="4" t="s">
        <v>10</v>
      </c>
      <c r="E185" s="3">
        <v>8</v>
      </c>
      <c r="F185" s="13">
        <v>131.76</v>
      </c>
      <c r="G185" s="14">
        <f>Table1[[#This Row],[Quantity]]*Table1[[#This Row],[Unit Price]]</f>
        <v>1054.08</v>
      </c>
    </row>
    <row r="186" spans="1:7" x14ac:dyDescent="0.35">
      <c r="A186" s="5" t="s">
        <v>122</v>
      </c>
      <c r="B186" s="2" t="s">
        <v>16</v>
      </c>
      <c r="C186" s="2" t="s">
        <v>17</v>
      </c>
      <c r="D186" s="2" t="s">
        <v>14</v>
      </c>
      <c r="E186" s="1">
        <v>9</v>
      </c>
      <c r="F186" s="13">
        <v>123.23</v>
      </c>
      <c r="G186" s="14">
        <f>Table1[[#This Row],[Quantity]]*Table1[[#This Row],[Unit Price]]</f>
        <v>1109.07</v>
      </c>
    </row>
    <row r="187" spans="1:7" x14ac:dyDescent="0.35">
      <c r="A187" s="6" t="s">
        <v>197</v>
      </c>
      <c r="B187" s="4" t="s">
        <v>16</v>
      </c>
      <c r="C187" s="4" t="s">
        <v>13</v>
      </c>
      <c r="D187" s="4" t="s">
        <v>28</v>
      </c>
      <c r="E187" s="3">
        <v>10</v>
      </c>
      <c r="F187" s="13">
        <v>1056.6600000000001</v>
      </c>
      <c r="G187" s="14">
        <f>Table1[[#This Row],[Quantity]]*Table1[[#This Row],[Unit Price]]</f>
        <v>10566.6</v>
      </c>
    </row>
    <row r="188" spans="1:7" x14ac:dyDescent="0.35">
      <c r="A188" s="5" t="s">
        <v>198</v>
      </c>
      <c r="B188" s="2" t="s">
        <v>12</v>
      </c>
      <c r="C188" s="2" t="s">
        <v>56</v>
      </c>
      <c r="D188" s="2" t="s">
        <v>39</v>
      </c>
      <c r="E188" s="1">
        <v>3</v>
      </c>
      <c r="F188" s="13">
        <v>85.47</v>
      </c>
      <c r="G188" s="14">
        <f>Table1[[#This Row],[Quantity]]*Table1[[#This Row],[Unit Price]]</f>
        <v>256.40999999999997</v>
      </c>
    </row>
    <row r="189" spans="1:7" x14ac:dyDescent="0.35">
      <c r="A189" s="6" t="s">
        <v>199</v>
      </c>
      <c r="B189" s="4" t="s">
        <v>41</v>
      </c>
      <c r="C189" s="4" t="s">
        <v>36</v>
      </c>
      <c r="D189" s="4" t="s">
        <v>21</v>
      </c>
      <c r="E189" s="3">
        <v>5</v>
      </c>
      <c r="F189" s="13">
        <v>41.23</v>
      </c>
      <c r="G189" s="14">
        <f>Table1[[#This Row],[Quantity]]*Table1[[#This Row],[Unit Price]]</f>
        <v>206.14999999999998</v>
      </c>
    </row>
    <row r="190" spans="1:7" x14ac:dyDescent="0.35">
      <c r="A190" s="5" t="s">
        <v>200</v>
      </c>
      <c r="B190" s="2" t="s">
        <v>12</v>
      </c>
      <c r="C190" s="2" t="s">
        <v>30</v>
      </c>
      <c r="D190" s="2" t="s">
        <v>10</v>
      </c>
      <c r="E190" s="1">
        <v>6</v>
      </c>
      <c r="F190" s="13">
        <v>122.73</v>
      </c>
      <c r="G190" s="14">
        <f>Table1[[#This Row],[Quantity]]*Table1[[#This Row],[Unit Price]]</f>
        <v>736.38</v>
      </c>
    </row>
    <row r="191" spans="1:7" x14ac:dyDescent="0.35">
      <c r="A191" s="6" t="s">
        <v>201</v>
      </c>
      <c r="B191" s="4" t="s">
        <v>35</v>
      </c>
      <c r="C191" s="4" t="s">
        <v>56</v>
      </c>
      <c r="D191" s="4" t="s">
        <v>32</v>
      </c>
      <c r="E191" s="3">
        <v>15</v>
      </c>
      <c r="F191" s="13">
        <v>381.31</v>
      </c>
      <c r="G191" s="14">
        <f>Table1[[#This Row],[Quantity]]*Table1[[#This Row],[Unit Price]]</f>
        <v>5719.65</v>
      </c>
    </row>
    <row r="192" spans="1:7" x14ac:dyDescent="0.35">
      <c r="A192" s="5" t="s">
        <v>202</v>
      </c>
      <c r="B192" s="2" t="s">
        <v>16</v>
      </c>
      <c r="C192" s="2" t="s">
        <v>20</v>
      </c>
      <c r="D192" s="2" t="s">
        <v>18</v>
      </c>
      <c r="E192" s="1">
        <v>12</v>
      </c>
      <c r="F192" s="13">
        <v>182.69</v>
      </c>
      <c r="G192" s="14">
        <f>Table1[[#This Row],[Quantity]]*Table1[[#This Row],[Unit Price]]</f>
        <v>2192.2799999999997</v>
      </c>
    </row>
    <row r="193" spans="1:7" x14ac:dyDescent="0.35">
      <c r="A193" s="6" t="s">
        <v>203</v>
      </c>
      <c r="B193" s="4" t="s">
        <v>8</v>
      </c>
      <c r="C193" s="4" t="s">
        <v>27</v>
      </c>
      <c r="D193" s="4" t="s">
        <v>18</v>
      </c>
      <c r="E193" s="3">
        <v>4</v>
      </c>
      <c r="F193" s="13">
        <v>197.2</v>
      </c>
      <c r="G193" s="14">
        <f>Table1[[#This Row],[Quantity]]*Table1[[#This Row],[Unit Price]]</f>
        <v>788.8</v>
      </c>
    </row>
    <row r="194" spans="1:7" x14ac:dyDescent="0.35">
      <c r="A194" s="5" t="s">
        <v>204</v>
      </c>
      <c r="B194" s="2" t="s">
        <v>35</v>
      </c>
      <c r="C194" s="2" t="s">
        <v>38</v>
      </c>
      <c r="D194" s="2" t="s">
        <v>25</v>
      </c>
      <c r="E194" s="1">
        <v>12</v>
      </c>
      <c r="F194" s="13">
        <v>275.58</v>
      </c>
      <c r="G194" s="14">
        <f>Table1[[#This Row],[Quantity]]*Table1[[#This Row],[Unit Price]]</f>
        <v>3306.96</v>
      </c>
    </row>
    <row r="195" spans="1:7" x14ac:dyDescent="0.35">
      <c r="A195" s="6" t="s">
        <v>205</v>
      </c>
      <c r="B195" s="4" t="s">
        <v>41</v>
      </c>
      <c r="C195" s="4" t="s">
        <v>9</v>
      </c>
      <c r="D195" s="4" t="s">
        <v>14</v>
      </c>
      <c r="E195" s="3">
        <v>18</v>
      </c>
      <c r="F195" s="13">
        <v>114.91</v>
      </c>
      <c r="G195" s="14">
        <f>Table1[[#This Row],[Quantity]]*Table1[[#This Row],[Unit Price]]</f>
        <v>2068.38</v>
      </c>
    </row>
    <row r="196" spans="1:7" x14ac:dyDescent="0.35">
      <c r="A196" s="5" t="s">
        <v>206</v>
      </c>
      <c r="B196" s="2" t="s">
        <v>16</v>
      </c>
      <c r="C196" s="2" t="s">
        <v>13</v>
      </c>
      <c r="D196" s="2" t="s">
        <v>49</v>
      </c>
      <c r="E196" s="1">
        <v>10</v>
      </c>
      <c r="F196" s="13">
        <v>50.46</v>
      </c>
      <c r="G196" s="14">
        <f>Table1[[#This Row],[Quantity]]*Table1[[#This Row],[Unit Price]]</f>
        <v>504.6</v>
      </c>
    </row>
    <row r="197" spans="1:7" x14ac:dyDescent="0.35">
      <c r="A197" s="6" t="s">
        <v>207</v>
      </c>
      <c r="B197" s="4" t="s">
        <v>16</v>
      </c>
      <c r="C197" s="4" t="s">
        <v>9</v>
      </c>
      <c r="D197" s="4" t="s">
        <v>28</v>
      </c>
      <c r="E197" s="3">
        <v>10</v>
      </c>
      <c r="F197" s="13">
        <v>1098.0899999999999</v>
      </c>
      <c r="G197" s="14">
        <f>Table1[[#This Row],[Quantity]]*Table1[[#This Row],[Unit Price]]</f>
        <v>10980.9</v>
      </c>
    </row>
    <row r="198" spans="1:7" x14ac:dyDescent="0.35">
      <c r="A198" s="5" t="s">
        <v>208</v>
      </c>
      <c r="B198" s="2" t="s">
        <v>8</v>
      </c>
      <c r="C198" s="2" t="s">
        <v>17</v>
      </c>
      <c r="D198" s="2" t="s">
        <v>18</v>
      </c>
      <c r="E198" s="1">
        <v>5</v>
      </c>
      <c r="F198" s="13">
        <v>194.57</v>
      </c>
      <c r="G198" s="14">
        <f>Table1[[#This Row],[Quantity]]*Table1[[#This Row],[Unit Price]]</f>
        <v>972.84999999999991</v>
      </c>
    </row>
    <row r="199" spans="1:7" x14ac:dyDescent="0.35">
      <c r="A199" s="6" t="s">
        <v>209</v>
      </c>
      <c r="B199" s="4" t="s">
        <v>12</v>
      </c>
      <c r="C199" s="4" t="s">
        <v>20</v>
      </c>
      <c r="D199" s="4" t="s">
        <v>14</v>
      </c>
      <c r="E199" s="3">
        <v>5</v>
      </c>
      <c r="F199" s="13">
        <v>128.16999999999999</v>
      </c>
      <c r="G199" s="14">
        <f>Table1[[#This Row],[Quantity]]*Table1[[#This Row],[Unit Price]]</f>
        <v>640.84999999999991</v>
      </c>
    </row>
    <row r="200" spans="1:7" x14ac:dyDescent="0.35">
      <c r="A200" s="5" t="s">
        <v>210</v>
      </c>
      <c r="B200" s="2" t="s">
        <v>8</v>
      </c>
      <c r="C200" s="2" t="s">
        <v>73</v>
      </c>
      <c r="D200" s="2" t="s">
        <v>14</v>
      </c>
      <c r="E200" s="1">
        <v>14</v>
      </c>
      <c r="F200" s="13">
        <v>129.44999999999999</v>
      </c>
      <c r="G200" s="14">
        <f>Table1[[#This Row],[Quantity]]*Table1[[#This Row],[Unit Price]]</f>
        <v>1812.2999999999997</v>
      </c>
    </row>
    <row r="201" spans="1:7" x14ac:dyDescent="0.35">
      <c r="A201" s="10" t="s">
        <v>211</v>
      </c>
      <c r="B201" s="11" t="s">
        <v>8</v>
      </c>
      <c r="C201" s="11" t="s">
        <v>56</v>
      </c>
      <c r="D201" s="11" t="s">
        <v>21</v>
      </c>
      <c r="E201" s="12">
        <v>15</v>
      </c>
      <c r="F201" s="13">
        <v>38.57</v>
      </c>
      <c r="G201" s="14">
        <f>Table1[[#This Row],[Quantity]]*Table1[[#This Row],[Unit Price]]</f>
        <v>578.54999999999995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6774-5CAF-48FD-88BC-F44C62C44AD9}">
  <dimension ref="A1:K201"/>
  <sheetViews>
    <sheetView workbookViewId="0">
      <selection activeCell="M6" sqref="M6"/>
    </sheetView>
  </sheetViews>
  <sheetFormatPr defaultRowHeight="14.5" x14ac:dyDescent="0.35"/>
  <cols>
    <col min="1" max="1" width="12.453125" bestFit="1" customWidth="1"/>
    <col min="2" max="2" width="8.7265625" bestFit="1" customWidth="1"/>
    <col min="3" max="3" width="11.90625" bestFit="1" customWidth="1"/>
    <col min="4" max="4" width="10.90625" bestFit="1" customWidth="1"/>
    <col min="5" max="5" width="10.453125" bestFit="1" customWidth="1"/>
    <col min="6" max="6" width="11.1796875" bestFit="1" customWidth="1"/>
    <col min="7" max="7" width="14.54296875" bestFit="1" customWidth="1"/>
    <col min="8" max="8" width="11.36328125" customWidth="1"/>
    <col min="9" max="9" width="11.26953125" customWidth="1"/>
    <col min="10" max="10" width="15.6328125" customWidth="1"/>
    <col min="11" max="11" width="10" customWidth="1"/>
  </cols>
  <sheetData>
    <row r="1" spans="1:11" s="21" customFormat="1" ht="43.5" x14ac:dyDescent="0.35">
      <c r="A1" s="21" t="s">
        <v>0</v>
      </c>
      <c r="B1" s="21" t="s">
        <v>1</v>
      </c>
      <c r="C1" s="21" t="s">
        <v>2</v>
      </c>
      <c r="D1" s="21" t="s">
        <v>3</v>
      </c>
      <c r="E1" s="21" t="s">
        <v>4</v>
      </c>
      <c r="F1" s="21" t="s">
        <v>5</v>
      </c>
      <c r="G1" s="21" t="s">
        <v>6</v>
      </c>
      <c r="H1" s="21" t="s">
        <v>226</v>
      </c>
      <c r="I1" s="21" t="s">
        <v>227</v>
      </c>
      <c r="J1" s="21" t="s">
        <v>228</v>
      </c>
      <c r="K1" s="21" t="s">
        <v>229</v>
      </c>
    </row>
    <row r="2" spans="1:11" x14ac:dyDescent="0.35">
      <c r="A2" s="15">
        <v>45581</v>
      </c>
      <c r="B2" t="s">
        <v>8</v>
      </c>
      <c r="C2" t="s">
        <v>9</v>
      </c>
      <c r="D2" t="s">
        <v>10</v>
      </c>
      <c r="E2">
        <v>8</v>
      </c>
      <c r="F2">
        <v>121.86</v>
      </c>
      <c r="G2">
        <v>974.88</v>
      </c>
      <c r="H2" t="s">
        <v>230</v>
      </c>
      <c r="I2" t="s">
        <v>231</v>
      </c>
      <c r="J2">
        <v>10</v>
      </c>
      <c r="K2" t="s">
        <v>232</v>
      </c>
    </row>
    <row r="3" spans="1:11" x14ac:dyDescent="0.35">
      <c r="A3" s="15">
        <v>45031</v>
      </c>
      <c r="B3" t="s">
        <v>12</v>
      </c>
      <c r="C3" t="s">
        <v>212</v>
      </c>
      <c r="D3" t="s">
        <v>213</v>
      </c>
      <c r="E3">
        <v>14</v>
      </c>
      <c r="F3">
        <v>107.86</v>
      </c>
      <c r="G3">
        <v>1510.04</v>
      </c>
      <c r="H3" t="s">
        <v>233</v>
      </c>
      <c r="I3" t="s">
        <v>234</v>
      </c>
      <c r="J3">
        <v>4</v>
      </c>
      <c r="K3" t="s">
        <v>235</v>
      </c>
    </row>
    <row r="4" spans="1:11" x14ac:dyDescent="0.35">
      <c r="A4" s="15">
        <v>45022</v>
      </c>
      <c r="B4" t="s">
        <v>16</v>
      </c>
      <c r="C4" t="s">
        <v>214</v>
      </c>
      <c r="D4" t="s">
        <v>18</v>
      </c>
      <c r="E4">
        <v>20</v>
      </c>
      <c r="F4">
        <v>180.16</v>
      </c>
      <c r="G4">
        <v>3603.2</v>
      </c>
      <c r="H4" t="s">
        <v>233</v>
      </c>
      <c r="I4" t="s">
        <v>234</v>
      </c>
      <c r="J4">
        <v>4</v>
      </c>
      <c r="K4" t="s">
        <v>235</v>
      </c>
    </row>
    <row r="5" spans="1:11" x14ac:dyDescent="0.35">
      <c r="A5" s="15">
        <v>45130</v>
      </c>
      <c r="B5" t="s">
        <v>12</v>
      </c>
      <c r="C5" t="s">
        <v>215</v>
      </c>
      <c r="D5" t="s">
        <v>21</v>
      </c>
      <c r="E5">
        <v>15</v>
      </c>
      <c r="F5">
        <v>39.700000000000003</v>
      </c>
      <c r="G5">
        <v>595.5</v>
      </c>
      <c r="H5" t="s">
        <v>233</v>
      </c>
      <c r="I5" t="s">
        <v>236</v>
      </c>
      <c r="J5">
        <v>7</v>
      </c>
      <c r="K5" t="s">
        <v>237</v>
      </c>
    </row>
    <row r="6" spans="1:11" x14ac:dyDescent="0.35">
      <c r="A6" s="15">
        <v>44933</v>
      </c>
      <c r="B6" t="s">
        <v>16</v>
      </c>
      <c r="C6" t="s">
        <v>215</v>
      </c>
      <c r="D6" t="s">
        <v>23</v>
      </c>
      <c r="E6">
        <v>9</v>
      </c>
      <c r="F6">
        <v>82.87</v>
      </c>
      <c r="G6">
        <v>745.83</v>
      </c>
      <c r="H6" t="s">
        <v>233</v>
      </c>
      <c r="I6" t="s">
        <v>238</v>
      </c>
      <c r="J6">
        <v>1</v>
      </c>
      <c r="K6" t="s">
        <v>239</v>
      </c>
    </row>
    <row r="7" spans="1:11" x14ac:dyDescent="0.35">
      <c r="A7" s="15">
        <v>45271</v>
      </c>
      <c r="B7" t="s">
        <v>8</v>
      </c>
      <c r="C7" t="s">
        <v>212</v>
      </c>
      <c r="D7" t="s">
        <v>25</v>
      </c>
      <c r="E7">
        <v>4</v>
      </c>
      <c r="F7">
        <v>290.57</v>
      </c>
      <c r="G7">
        <v>1162.28</v>
      </c>
      <c r="H7" t="s">
        <v>233</v>
      </c>
      <c r="I7" t="s">
        <v>231</v>
      </c>
      <c r="J7">
        <v>12</v>
      </c>
      <c r="K7" t="s">
        <v>240</v>
      </c>
    </row>
    <row r="8" spans="1:11" x14ac:dyDescent="0.35">
      <c r="A8" s="15">
        <v>45279</v>
      </c>
      <c r="B8" t="s">
        <v>12</v>
      </c>
      <c r="C8" t="s">
        <v>216</v>
      </c>
      <c r="D8" t="s">
        <v>28</v>
      </c>
      <c r="E8">
        <v>15</v>
      </c>
      <c r="F8">
        <v>1006.24</v>
      </c>
      <c r="G8">
        <v>15093.6</v>
      </c>
      <c r="H8" t="s">
        <v>233</v>
      </c>
      <c r="I8" t="s">
        <v>231</v>
      </c>
      <c r="J8">
        <v>12</v>
      </c>
      <c r="K8" t="s">
        <v>240</v>
      </c>
    </row>
    <row r="9" spans="1:11" x14ac:dyDescent="0.35">
      <c r="A9" s="15">
        <v>45314</v>
      </c>
      <c r="B9" t="s">
        <v>8</v>
      </c>
      <c r="C9" t="s">
        <v>217</v>
      </c>
      <c r="D9" t="s">
        <v>10</v>
      </c>
      <c r="E9">
        <v>20</v>
      </c>
      <c r="F9">
        <v>138.94</v>
      </c>
      <c r="G9">
        <v>2778.8</v>
      </c>
      <c r="H9" t="s">
        <v>230</v>
      </c>
      <c r="I9" t="s">
        <v>238</v>
      </c>
      <c r="J9">
        <v>1</v>
      </c>
      <c r="K9" t="s">
        <v>239</v>
      </c>
    </row>
    <row r="10" spans="1:11" x14ac:dyDescent="0.35">
      <c r="A10" s="15">
        <v>45297</v>
      </c>
      <c r="B10" t="s">
        <v>12</v>
      </c>
      <c r="C10" t="s">
        <v>214</v>
      </c>
      <c r="D10" t="s">
        <v>32</v>
      </c>
      <c r="E10">
        <v>2</v>
      </c>
      <c r="F10">
        <v>360.26</v>
      </c>
      <c r="G10">
        <v>720.52</v>
      </c>
      <c r="H10" t="s">
        <v>230</v>
      </c>
      <c r="I10" t="s">
        <v>238</v>
      </c>
      <c r="J10">
        <v>1</v>
      </c>
      <c r="K10" t="s">
        <v>239</v>
      </c>
    </row>
    <row r="11" spans="1:11" x14ac:dyDescent="0.35">
      <c r="A11" s="15">
        <v>45223</v>
      </c>
      <c r="B11" t="s">
        <v>8</v>
      </c>
      <c r="C11" t="s">
        <v>214</v>
      </c>
      <c r="D11" t="s">
        <v>32</v>
      </c>
      <c r="E11">
        <v>13</v>
      </c>
      <c r="F11">
        <v>333.5</v>
      </c>
      <c r="G11">
        <v>4335.5</v>
      </c>
      <c r="H11" t="s">
        <v>233</v>
      </c>
      <c r="I11" t="s">
        <v>231</v>
      </c>
      <c r="J11">
        <v>10</v>
      </c>
      <c r="K11" t="s">
        <v>232</v>
      </c>
    </row>
    <row r="12" spans="1:11" x14ac:dyDescent="0.35">
      <c r="A12" s="15">
        <v>45577</v>
      </c>
      <c r="B12" t="s">
        <v>35</v>
      </c>
      <c r="C12" t="s">
        <v>218</v>
      </c>
      <c r="D12" t="s">
        <v>23</v>
      </c>
      <c r="E12">
        <v>12</v>
      </c>
      <c r="F12">
        <v>83.83</v>
      </c>
      <c r="G12">
        <v>1005.96</v>
      </c>
      <c r="H12" t="s">
        <v>230</v>
      </c>
      <c r="I12" t="s">
        <v>231</v>
      </c>
      <c r="J12">
        <v>10</v>
      </c>
      <c r="K12" t="s">
        <v>232</v>
      </c>
    </row>
    <row r="13" spans="1:11" x14ac:dyDescent="0.35">
      <c r="A13" s="15">
        <v>45200</v>
      </c>
      <c r="B13" t="s">
        <v>8</v>
      </c>
      <c r="C13" t="s">
        <v>219</v>
      </c>
      <c r="D13" t="s">
        <v>39</v>
      </c>
      <c r="E13">
        <v>18</v>
      </c>
      <c r="F13">
        <v>82.62</v>
      </c>
      <c r="G13">
        <v>1487.16</v>
      </c>
      <c r="H13" t="s">
        <v>233</v>
      </c>
      <c r="I13" t="s">
        <v>231</v>
      </c>
      <c r="J13">
        <v>10</v>
      </c>
      <c r="K13" t="s">
        <v>232</v>
      </c>
    </row>
    <row r="14" spans="1:11" x14ac:dyDescent="0.35">
      <c r="A14" s="15">
        <v>45094</v>
      </c>
      <c r="B14" t="s">
        <v>41</v>
      </c>
      <c r="C14" t="s">
        <v>215</v>
      </c>
      <c r="D14" t="s">
        <v>10</v>
      </c>
      <c r="E14">
        <v>18</v>
      </c>
      <c r="F14">
        <v>121.77</v>
      </c>
      <c r="G14">
        <v>2191.86</v>
      </c>
      <c r="H14" t="s">
        <v>233</v>
      </c>
      <c r="I14" t="s">
        <v>234</v>
      </c>
      <c r="J14">
        <v>6</v>
      </c>
      <c r="K14" t="s">
        <v>241</v>
      </c>
    </row>
    <row r="15" spans="1:11" x14ac:dyDescent="0.35">
      <c r="A15" s="15">
        <v>45259</v>
      </c>
      <c r="B15" t="s">
        <v>8</v>
      </c>
      <c r="C15" t="s">
        <v>214</v>
      </c>
      <c r="D15" t="s">
        <v>28</v>
      </c>
      <c r="E15">
        <v>11</v>
      </c>
      <c r="F15">
        <v>979.25</v>
      </c>
      <c r="G15">
        <v>10771.75</v>
      </c>
      <c r="H15" t="s">
        <v>233</v>
      </c>
      <c r="I15" t="s">
        <v>231</v>
      </c>
      <c r="J15">
        <v>11</v>
      </c>
      <c r="K15" t="s">
        <v>242</v>
      </c>
    </row>
    <row r="16" spans="1:11" x14ac:dyDescent="0.35">
      <c r="A16" s="15">
        <v>44994</v>
      </c>
      <c r="B16" t="s">
        <v>16</v>
      </c>
      <c r="C16" t="s">
        <v>219</v>
      </c>
      <c r="D16" t="s">
        <v>23</v>
      </c>
      <c r="E16">
        <v>7</v>
      </c>
      <c r="F16">
        <v>91.77</v>
      </c>
      <c r="G16">
        <v>642.39</v>
      </c>
      <c r="H16" t="s">
        <v>233</v>
      </c>
      <c r="I16" t="s">
        <v>238</v>
      </c>
      <c r="J16">
        <v>3</v>
      </c>
      <c r="K16" t="s">
        <v>243</v>
      </c>
    </row>
    <row r="17" spans="1:11" x14ac:dyDescent="0.35">
      <c r="A17" s="15">
        <v>45332</v>
      </c>
      <c r="B17" t="s">
        <v>41</v>
      </c>
      <c r="C17" t="s">
        <v>218</v>
      </c>
      <c r="D17" t="s">
        <v>10</v>
      </c>
      <c r="E17">
        <v>5</v>
      </c>
      <c r="F17">
        <v>122.46</v>
      </c>
      <c r="G17">
        <v>612.29999999999995</v>
      </c>
      <c r="H17" t="s">
        <v>230</v>
      </c>
      <c r="I17" t="s">
        <v>238</v>
      </c>
      <c r="J17">
        <v>2</v>
      </c>
      <c r="K17" t="s">
        <v>244</v>
      </c>
    </row>
    <row r="18" spans="1:11" x14ac:dyDescent="0.35">
      <c r="A18" s="15">
        <v>45501</v>
      </c>
      <c r="B18" t="s">
        <v>12</v>
      </c>
      <c r="C18" t="s">
        <v>216</v>
      </c>
      <c r="D18" t="s">
        <v>213</v>
      </c>
      <c r="E18">
        <v>14</v>
      </c>
      <c r="F18">
        <v>128.47</v>
      </c>
      <c r="G18">
        <v>1798.58</v>
      </c>
      <c r="H18" t="s">
        <v>230</v>
      </c>
      <c r="I18" t="s">
        <v>236</v>
      </c>
      <c r="J18">
        <v>7</v>
      </c>
      <c r="K18" t="s">
        <v>237</v>
      </c>
    </row>
    <row r="19" spans="1:11" x14ac:dyDescent="0.35">
      <c r="A19" s="15">
        <v>45335</v>
      </c>
      <c r="B19" t="s">
        <v>35</v>
      </c>
      <c r="C19" t="s">
        <v>214</v>
      </c>
      <c r="D19" t="s">
        <v>39</v>
      </c>
      <c r="E19">
        <v>17</v>
      </c>
      <c r="F19">
        <v>78.900000000000006</v>
      </c>
      <c r="G19">
        <v>1341.3</v>
      </c>
      <c r="H19" t="s">
        <v>230</v>
      </c>
      <c r="I19" t="s">
        <v>238</v>
      </c>
      <c r="J19">
        <v>2</v>
      </c>
      <c r="K19" t="s">
        <v>244</v>
      </c>
    </row>
    <row r="20" spans="1:11" x14ac:dyDescent="0.35">
      <c r="A20" s="15">
        <v>44975</v>
      </c>
      <c r="B20" t="s">
        <v>8</v>
      </c>
      <c r="C20" t="s">
        <v>218</v>
      </c>
      <c r="D20" t="s">
        <v>39</v>
      </c>
      <c r="E20">
        <v>14</v>
      </c>
      <c r="F20">
        <v>80.52</v>
      </c>
      <c r="G20">
        <v>1127.28</v>
      </c>
      <c r="H20" t="s">
        <v>233</v>
      </c>
      <c r="I20" t="s">
        <v>238</v>
      </c>
      <c r="J20">
        <v>2</v>
      </c>
      <c r="K20" t="s">
        <v>244</v>
      </c>
    </row>
    <row r="21" spans="1:11" x14ac:dyDescent="0.35">
      <c r="A21" s="15">
        <v>45321</v>
      </c>
      <c r="B21" t="s">
        <v>41</v>
      </c>
      <c r="C21" t="s">
        <v>219</v>
      </c>
      <c r="D21" t="s">
        <v>220</v>
      </c>
      <c r="E21">
        <v>17</v>
      </c>
      <c r="F21">
        <v>46.56</v>
      </c>
      <c r="G21">
        <v>791.52</v>
      </c>
      <c r="H21" t="s">
        <v>230</v>
      </c>
      <c r="I21" t="s">
        <v>238</v>
      </c>
      <c r="J21">
        <v>1</v>
      </c>
      <c r="K21" t="s">
        <v>239</v>
      </c>
    </row>
    <row r="22" spans="1:11" x14ac:dyDescent="0.35">
      <c r="A22" s="15">
        <v>45493</v>
      </c>
      <c r="B22" t="s">
        <v>8</v>
      </c>
      <c r="C22" t="s">
        <v>212</v>
      </c>
      <c r="D22" t="s">
        <v>18</v>
      </c>
      <c r="E22">
        <v>9</v>
      </c>
      <c r="F22">
        <v>209.69</v>
      </c>
      <c r="G22">
        <v>1887.21</v>
      </c>
      <c r="H22" t="s">
        <v>230</v>
      </c>
      <c r="I22" t="s">
        <v>236</v>
      </c>
      <c r="J22">
        <v>7</v>
      </c>
      <c r="K22" t="s">
        <v>237</v>
      </c>
    </row>
    <row r="23" spans="1:11" x14ac:dyDescent="0.35">
      <c r="A23" s="15">
        <v>45275</v>
      </c>
      <c r="B23" t="s">
        <v>8</v>
      </c>
      <c r="C23" t="s">
        <v>216</v>
      </c>
      <c r="D23" t="s">
        <v>25</v>
      </c>
      <c r="E23">
        <v>6</v>
      </c>
      <c r="F23">
        <v>296.23</v>
      </c>
      <c r="G23">
        <v>1777.38</v>
      </c>
      <c r="H23" t="s">
        <v>233</v>
      </c>
      <c r="I23" t="s">
        <v>231</v>
      </c>
      <c r="J23">
        <v>12</v>
      </c>
      <c r="K23" t="s">
        <v>240</v>
      </c>
    </row>
    <row r="24" spans="1:11" x14ac:dyDescent="0.35">
      <c r="A24" s="15">
        <v>45196</v>
      </c>
      <c r="B24" t="s">
        <v>12</v>
      </c>
      <c r="C24" t="s">
        <v>218</v>
      </c>
      <c r="D24" t="s">
        <v>18</v>
      </c>
      <c r="E24">
        <v>4</v>
      </c>
      <c r="F24">
        <v>213.75</v>
      </c>
      <c r="G24">
        <v>855</v>
      </c>
      <c r="H24" t="s">
        <v>233</v>
      </c>
      <c r="I24" t="s">
        <v>236</v>
      </c>
      <c r="J24">
        <v>9</v>
      </c>
      <c r="K24" t="s">
        <v>245</v>
      </c>
    </row>
    <row r="25" spans="1:11" x14ac:dyDescent="0.35">
      <c r="A25" s="15">
        <v>45232</v>
      </c>
      <c r="B25" t="s">
        <v>12</v>
      </c>
      <c r="C25" t="s">
        <v>219</v>
      </c>
      <c r="D25" t="s">
        <v>21</v>
      </c>
      <c r="E25">
        <v>5</v>
      </c>
      <c r="F25">
        <v>38.020000000000003</v>
      </c>
      <c r="G25">
        <v>190.1</v>
      </c>
      <c r="H25" t="s">
        <v>233</v>
      </c>
      <c r="I25" t="s">
        <v>231</v>
      </c>
      <c r="J25">
        <v>11</v>
      </c>
      <c r="K25" t="s">
        <v>242</v>
      </c>
    </row>
    <row r="26" spans="1:11" x14ac:dyDescent="0.35">
      <c r="A26" s="15">
        <v>45092</v>
      </c>
      <c r="B26" t="s">
        <v>12</v>
      </c>
      <c r="C26" t="s">
        <v>217</v>
      </c>
      <c r="D26" t="s">
        <v>28</v>
      </c>
      <c r="E26">
        <v>20</v>
      </c>
      <c r="F26">
        <v>963.87</v>
      </c>
      <c r="G26">
        <v>19277.400000000001</v>
      </c>
      <c r="H26" t="s">
        <v>233</v>
      </c>
      <c r="I26" t="s">
        <v>234</v>
      </c>
      <c r="J26">
        <v>6</v>
      </c>
      <c r="K26" t="s">
        <v>241</v>
      </c>
    </row>
    <row r="27" spans="1:11" x14ac:dyDescent="0.35">
      <c r="A27" s="15">
        <v>44946</v>
      </c>
      <c r="B27" t="s">
        <v>8</v>
      </c>
      <c r="C27" t="s">
        <v>221</v>
      </c>
      <c r="D27" t="s">
        <v>10</v>
      </c>
      <c r="E27">
        <v>8</v>
      </c>
      <c r="F27">
        <v>117.59</v>
      </c>
      <c r="G27">
        <v>940.72</v>
      </c>
      <c r="H27" t="s">
        <v>233</v>
      </c>
      <c r="I27" t="s">
        <v>238</v>
      </c>
      <c r="J27">
        <v>1</v>
      </c>
      <c r="K27" t="s">
        <v>239</v>
      </c>
    </row>
    <row r="28" spans="1:11" x14ac:dyDescent="0.35">
      <c r="A28" s="15">
        <v>45507</v>
      </c>
      <c r="B28" t="s">
        <v>8</v>
      </c>
      <c r="C28" t="s">
        <v>212</v>
      </c>
      <c r="D28" t="s">
        <v>220</v>
      </c>
      <c r="E28">
        <v>3</v>
      </c>
      <c r="F28">
        <v>53.68</v>
      </c>
      <c r="G28">
        <v>161.04</v>
      </c>
      <c r="H28" t="s">
        <v>230</v>
      </c>
      <c r="I28" t="s">
        <v>236</v>
      </c>
      <c r="J28">
        <v>8</v>
      </c>
      <c r="K28" t="s">
        <v>246</v>
      </c>
    </row>
    <row r="29" spans="1:11" x14ac:dyDescent="0.35">
      <c r="A29" s="15">
        <v>45472</v>
      </c>
      <c r="B29" t="s">
        <v>16</v>
      </c>
      <c r="C29" t="s">
        <v>218</v>
      </c>
      <c r="D29" t="s">
        <v>220</v>
      </c>
      <c r="E29">
        <v>18</v>
      </c>
      <c r="F29">
        <v>45.72</v>
      </c>
      <c r="G29">
        <v>822.96</v>
      </c>
      <c r="H29" t="s">
        <v>230</v>
      </c>
      <c r="I29" t="s">
        <v>234</v>
      </c>
      <c r="J29">
        <v>6</v>
      </c>
      <c r="K29" t="s">
        <v>241</v>
      </c>
    </row>
    <row r="30" spans="1:11" x14ac:dyDescent="0.35">
      <c r="A30" s="15">
        <v>45467</v>
      </c>
      <c r="B30" t="s">
        <v>12</v>
      </c>
      <c r="C30" t="s">
        <v>215</v>
      </c>
      <c r="D30" t="s">
        <v>21</v>
      </c>
      <c r="E30">
        <v>18</v>
      </c>
      <c r="F30">
        <v>40.99</v>
      </c>
      <c r="G30">
        <v>737.82</v>
      </c>
      <c r="H30" t="s">
        <v>230</v>
      </c>
      <c r="I30" t="s">
        <v>234</v>
      </c>
      <c r="J30">
        <v>6</v>
      </c>
      <c r="K30" t="s">
        <v>241</v>
      </c>
    </row>
    <row r="31" spans="1:11" x14ac:dyDescent="0.35">
      <c r="A31" s="15">
        <v>45633</v>
      </c>
      <c r="B31" t="s">
        <v>16</v>
      </c>
      <c r="C31" t="s">
        <v>216</v>
      </c>
      <c r="D31" t="s">
        <v>25</v>
      </c>
      <c r="E31">
        <v>12</v>
      </c>
      <c r="F31">
        <v>295.3</v>
      </c>
      <c r="G31">
        <v>3543.6</v>
      </c>
      <c r="H31" t="s">
        <v>230</v>
      </c>
      <c r="I31" t="s">
        <v>231</v>
      </c>
      <c r="J31">
        <v>12</v>
      </c>
      <c r="K31" t="s">
        <v>240</v>
      </c>
    </row>
    <row r="32" spans="1:11" x14ac:dyDescent="0.35">
      <c r="A32" s="15">
        <v>45456</v>
      </c>
      <c r="B32" t="s">
        <v>41</v>
      </c>
      <c r="C32" t="s">
        <v>212</v>
      </c>
      <c r="D32" t="s">
        <v>21</v>
      </c>
      <c r="E32">
        <v>8</v>
      </c>
      <c r="F32">
        <v>35.6</v>
      </c>
      <c r="G32">
        <v>284.8</v>
      </c>
      <c r="H32" t="s">
        <v>230</v>
      </c>
      <c r="I32" t="s">
        <v>234</v>
      </c>
      <c r="J32">
        <v>6</v>
      </c>
      <c r="K32" t="s">
        <v>241</v>
      </c>
    </row>
    <row r="33" spans="1:11" x14ac:dyDescent="0.35">
      <c r="A33" s="15">
        <v>44948</v>
      </c>
      <c r="B33" t="s">
        <v>12</v>
      </c>
      <c r="C33" t="s">
        <v>217</v>
      </c>
      <c r="D33" t="s">
        <v>21</v>
      </c>
      <c r="E33">
        <v>19</v>
      </c>
      <c r="F33">
        <v>36.82</v>
      </c>
      <c r="G33">
        <v>699.58</v>
      </c>
      <c r="H33" t="s">
        <v>233</v>
      </c>
      <c r="I33" t="s">
        <v>238</v>
      </c>
      <c r="J33">
        <v>1</v>
      </c>
      <c r="K33" t="s">
        <v>239</v>
      </c>
    </row>
    <row r="34" spans="1:11" x14ac:dyDescent="0.35">
      <c r="A34" s="15">
        <v>44999</v>
      </c>
      <c r="B34" t="s">
        <v>8</v>
      </c>
      <c r="C34" t="s">
        <v>214</v>
      </c>
      <c r="D34" t="s">
        <v>32</v>
      </c>
      <c r="E34">
        <v>2</v>
      </c>
      <c r="F34">
        <v>374.1</v>
      </c>
      <c r="G34">
        <v>748.2</v>
      </c>
      <c r="H34" t="s">
        <v>233</v>
      </c>
      <c r="I34" t="s">
        <v>238</v>
      </c>
      <c r="J34">
        <v>3</v>
      </c>
      <c r="K34" t="s">
        <v>243</v>
      </c>
    </row>
    <row r="35" spans="1:11" x14ac:dyDescent="0.35">
      <c r="A35" s="15">
        <v>44999</v>
      </c>
      <c r="B35" t="s">
        <v>12</v>
      </c>
      <c r="C35" t="s">
        <v>214</v>
      </c>
      <c r="D35" t="s">
        <v>10</v>
      </c>
      <c r="E35">
        <v>16</v>
      </c>
      <c r="F35">
        <v>121.63</v>
      </c>
      <c r="G35">
        <v>1946.08</v>
      </c>
      <c r="H35" t="s">
        <v>233</v>
      </c>
      <c r="I35" t="s">
        <v>238</v>
      </c>
      <c r="J35">
        <v>3</v>
      </c>
      <c r="K35" t="s">
        <v>243</v>
      </c>
    </row>
    <row r="36" spans="1:11" x14ac:dyDescent="0.35">
      <c r="A36" s="15">
        <v>45062</v>
      </c>
      <c r="B36" t="s">
        <v>12</v>
      </c>
      <c r="C36" t="s">
        <v>219</v>
      </c>
      <c r="D36" t="s">
        <v>220</v>
      </c>
      <c r="E36">
        <v>8</v>
      </c>
      <c r="F36">
        <v>51.79</v>
      </c>
      <c r="G36">
        <v>414.32</v>
      </c>
      <c r="H36" t="s">
        <v>233</v>
      </c>
      <c r="I36" t="s">
        <v>234</v>
      </c>
      <c r="J36">
        <v>5</v>
      </c>
      <c r="K36" t="s">
        <v>247</v>
      </c>
    </row>
    <row r="37" spans="1:11" x14ac:dyDescent="0.35">
      <c r="A37" s="15">
        <v>45343</v>
      </c>
      <c r="B37" t="s">
        <v>16</v>
      </c>
      <c r="C37" t="s">
        <v>212</v>
      </c>
      <c r="D37" t="s">
        <v>32</v>
      </c>
      <c r="E37">
        <v>14</v>
      </c>
      <c r="F37">
        <v>338.83</v>
      </c>
      <c r="G37">
        <v>4743.62</v>
      </c>
      <c r="H37" t="s">
        <v>230</v>
      </c>
      <c r="I37" t="s">
        <v>238</v>
      </c>
      <c r="J37">
        <v>2</v>
      </c>
      <c r="K37" t="s">
        <v>244</v>
      </c>
    </row>
    <row r="38" spans="1:11" x14ac:dyDescent="0.35">
      <c r="A38" s="15">
        <v>45347</v>
      </c>
      <c r="B38" t="s">
        <v>41</v>
      </c>
      <c r="C38" t="s">
        <v>9</v>
      </c>
      <c r="D38" t="s">
        <v>32</v>
      </c>
      <c r="E38">
        <v>2</v>
      </c>
      <c r="F38">
        <v>342.2</v>
      </c>
      <c r="G38">
        <v>684.4</v>
      </c>
      <c r="H38" t="s">
        <v>230</v>
      </c>
      <c r="I38" t="s">
        <v>238</v>
      </c>
      <c r="J38">
        <v>2</v>
      </c>
      <c r="K38" t="s">
        <v>244</v>
      </c>
    </row>
    <row r="39" spans="1:11" x14ac:dyDescent="0.35">
      <c r="A39" s="15">
        <v>45274</v>
      </c>
      <c r="B39" t="s">
        <v>8</v>
      </c>
      <c r="C39" t="s">
        <v>214</v>
      </c>
      <c r="D39" t="s">
        <v>21</v>
      </c>
      <c r="E39">
        <v>7</v>
      </c>
      <c r="F39">
        <v>39.28</v>
      </c>
      <c r="G39">
        <v>274.95999999999998</v>
      </c>
      <c r="H39" t="s">
        <v>233</v>
      </c>
      <c r="I39" t="s">
        <v>231</v>
      </c>
      <c r="J39">
        <v>12</v>
      </c>
      <c r="K39" t="s">
        <v>240</v>
      </c>
    </row>
    <row r="40" spans="1:11" x14ac:dyDescent="0.35">
      <c r="A40" s="15">
        <v>45070</v>
      </c>
      <c r="B40" t="s">
        <v>41</v>
      </c>
      <c r="C40" t="s">
        <v>218</v>
      </c>
      <c r="D40" t="s">
        <v>10</v>
      </c>
      <c r="E40">
        <v>15</v>
      </c>
      <c r="F40">
        <v>122.55</v>
      </c>
      <c r="G40">
        <v>1838.25</v>
      </c>
      <c r="H40" t="s">
        <v>233</v>
      </c>
      <c r="I40" t="s">
        <v>234</v>
      </c>
      <c r="J40">
        <v>5</v>
      </c>
      <c r="K40" t="s">
        <v>247</v>
      </c>
    </row>
    <row r="41" spans="1:11" x14ac:dyDescent="0.35">
      <c r="A41" s="15">
        <v>45004</v>
      </c>
      <c r="B41" t="s">
        <v>41</v>
      </c>
      <c r="C41" t="s">
        <v>217</v>
      </c>
      <c r="D41" t="s">
        <v>32</v>
      </c>
      <c r="E41">
        <v>2</v>
      </c>
      <c r="F41">
        <v>359.62</v>
      </c>
      <c r="G41">
        <v>719.24</v>
      </c>
      <c r="H41" t="s">
        <v>233</v>
      </c>
      <c r="I41" t="s">
        <v>238</v>
      </c>
      <c r="J41">
        <v>3</v>
      </c>
      <c r="K41" t="s">
        <v>243</v>
      </c>
    </row>
    <row r="42" spans="1:11" x14ac:dyDescent="0.35">
      <c r="A42" s="15">
        <v>45480</v>
      </c>
      <c r="B42" t="s">
        <v>8</v>
      </c>
      <c r="C42" t="s">
        <v>212</v>
      </c>
      <c r="D42" t="s">
        <v>21</v>
      </c>
      <c r="E42">
        <v>6</v>
      </c>
      <c r="F42">
        <v>38.270000000000003</v>
      </c>
      <c r="G42">
        <v>229.62</v>
      </c>
      <c r="H42" t="s">
        <v>230</v>
      </c>
      <c r="I42" t="s">
        <v>236</v>
      </c>
      <c r="J42">
        <v>7</v>
      </c>
      <c r="K42" t="s">
        <v>237</v>
      </c>
    </row>
    <row r="43" spans="1:11" x14ac:dyDescent="0.35">
      <c r="A43" s="15">
        <v>45419</v>
      </c>
      <c r="B43" t="s">
        <v>16</v>
      </c>
      <c r="C43" t="s">
        <v>215</v>
      </c>
      <c r="D43" t="s">
        <v>28</v>
      </c>
      <c r="E43">
        <v>6</v>
      </c>
      <c r="F43">
        <v>974.82</v>
      </c>
      <c r="G43">
        <v>5848.92</v>
      </c>
      <c r="H43" t="s">
        <v>230</v>
      </c>
      <c r="I43" t="s">
        <v>234</v>
      </c>
      <c r="J43">
        <v>5</v>
      </c>
      <c r="K43" t="s">
        <v>247</v>
      </c>
    </row>
    <row r="44" spans="1:11" x14ac:dyDescent="0.35">
      <c r="A44" s="15">
        <v>45326</v>
      </c>
      <c r="B44" t="s">
        <v>35</v>
      </c>
      <c r="C44" t="s">
        <v>222</v>
      </c>
      <c r="D44" t="s">
        <v>10</v>
      </c>
      <c r="E44">
        <v>14</v>
      </c>
      <c r="F44">
        <v>134.07</v>
      </c>
      <c r="G44">
        <v>1876.98</v>
      </c>
      <c r="H44" t="s">
        <v>230</v>
      </c>
      <c r="I44" t="s">
        <v>238</v>
      </c>
      <c r="J44">
        <v>2</v>
      </c>
      <c r="K44" t="s">
        <v>244</v>
      </c>
    </row>
    <row r="45" spans="1:11" x14ac:dyDescent="0.35">
      <c r="A45" s="15">
        <v>45496</v>
      </c>
      <c r="B45" t="s">
        <v>41</v>
      </c>
      <c r="C45" t="s">
        <v>218</v>
      </c>
      <c r="D45" t="s">
        <v>21</v>
      </c>
      <c r="E45">
        <v>10</v>
      </c>
      <c r="F45">
        <v>36.799999999999997</v>
      </c>
      <c r="G45">
        <v>368</v>
      </c>
      <c r="H45" t="s">
        <v>230</v>
      </c>
      <c r="I45" t="s">
        <v>236</v>
      </c>
      <c r="J45">
        <v>7</v>
      </c>
      <c r="K45" t="s">
        <v>237</v>
      </c>
    </row>
    <row r="46" spans="1:11" x14ac:dyDescent="0.35">
      <c r="A46" s="15">
        <v>44986</v>
      </c>
      <c r="B46" t="s">
        <v>12</v>
      </c>
      <c r="C46" t="s">
        <v>217</v>
      </c>
      <c r="D46" t="s">
        <v>28</v>
      </c>
      <c r="E46">
        <v>11</v>
      </c>
      <c r="F46">
        <v>910.52</v>
      </c>
      <c r="G46">
        <v>10015.719999999999</v>
      </c>
      <c r="H46" t="s">
        <v>233</v>
      </c>
      <c r="I46" t="s">
        <v>238</v>
      </c>
      <c r="J46">
        <v>3</v>
      </c>
      <c r="K46" t="s">
        <v>243</v>
      </c>
    </row>
    <row r="47" spans="1:11" x14ac:dyDescent="0.35">
      <c r="A47" s="15">
        <v>45525</v>
      </c>
      <c r="B47" t="s">
        <v>41</v>
      </c>
      <c r="C47" t="s">
        <v>217</v>
      </c>
      <c r="D47" t="s">
        <v>18</v>
      </c>
      <c r="E47">
        <v>6</v>
      </c>
      <c r="F47">
        <v>181.36</v>
      </c>
      <c r="G47">
        <v>1088.1600000000001</v>
      </c>
      <c r="H47" t="s">
        <v>230</v>
      </c>
      <c r="I47" t="s">
        <v>236</v>
      </c>
      <c r="J47">
        <v>8</v>
      </c>
      <c r="K47" t="s">
        <v>246</v>
      </c>
    </row>
    <row r="48" spans="1:11" x14ac:dyDescent="0.35">
      <c r="A48" s="15">
        <v>45447</v>
      </c>
      <c r="B48" t="s">
        <v>8</v>
      </c>
      <c r="C48" t="s">
        <v>218</v>
      </c>
      <c r="D48" t="s">
        <v>32</v>
      </c>
      <c r="E48">
        <v>20</v>
      </c>
      <c r="F48">
        <v>318.83999999999997</v>
      </c>
      <c r="G48">
        <v>6376.8</v>
      </c>
      <c r="H48" t="s">
        <v>230</v>
      </c>
      <c r="I48" t="s">
        <v>234</v>
      </c>
      <c r="J48">
        <v>6</v>
      </c>
      <c r="K48" t="s">
        <v>241</v>
      </c>
    </row>
    <row r="49" spans="1:11" x14ac:dyDescent="0.35">
      <c r="A49" s="15">
        <v>45167</v>
      </c>
      <c r="B49" t="s">
        <v>41</v>
      </c>
      <c r="C49" t="s">
        <v>212</v>
      </c>
      <c r="D49" t="s">
        <v>213</v>
      </c>
      <c r="E49">
        <v>8</v>
      </c>
      <c r="F49">
        <v>120.88</v>
      </c>
      <c r="G49">
        <v>967.04</v>
      </c>
      <c r="H49" t="s">
        <v>233</v>
      </c>
      <c r="I49" t="s">
        <v>236</v>
      </c>
      <c r="J49">
        <v>8</v>
      </c>
      <c r="K49" t="s">
        <v>246</v>
      </c>
    </row>
    <row r="50" spans="1:11" x14ac:dyDescent="0.35">
      <c r="A50" s="15">
        <v>44967</v>
      </c>
      <c r="B50" t="s">
        <v>12</v>
      </c>
      <c r="C50" t="s">
        <v>212</v>
      </c>
      <c r="D50" t="s">
        <v>25</v>
      </c>
      <c r="E50">
        <v>19</v>
      </c>
      <c r="F50">
        <v>302.89999999999998</v>
      </c>
      <c r="G50">
        <v>5755.1</v>
      </c>
      <c r="H50" t="s">
        <v>233</v>
      </c>
      <c r="I50" t="s">
        <v>238</v>
      </c>
      <c r="J50">
        <v>2</v>
      </c>
      <c r="K50" t="s">
        <v>244</v>
      </c>
    </row>
    <row r="51" spans="1:11" x14ac:dyDescent="0.35">
      <c r="A51" s="15">
        <v>45250</v>
      </c>
      <c r="B51" t="s">
        <v>35</v>
      </c>
      <c r="C51" t="s">
        <v>214</v>
      </c>
      <c r="D51" t="s">
        <v>23</v>
      </c>
      <c r="E51">
        <v>8</v>
      </c>
      <c r="F51">
        <v>84.83</v>
      </c>
      <c r="G51">
        <v>678.64</v>
      </c>
      <c r="H51" t="s">
        <v>233</v>
      </c>
      <c r="I51" t="s">
        <v>231</v>
      </c>
      <c r="J51">
        <v>11</v>
      </c>
      <c r="K51" t="s">
        <v>242</v>
      </c>
    </row>
    <row r="52" spans="1:11" x14ac:dyDescent="0.35">
      <c r="A52" s="15">
        <v>45061</v>
      </c>
      <c r="B52" t="s">
        <v>35</v>
      </c>
      <c r="C52" t="s">
        <v>222</v>
      </c>
      <c r="D52" t="s">
        <v>23</v>
      </c>
      <c r="E52">
        <v>3</v>
      </c>
      <c r="F52">
        <v>80.27</v>
      </c>
      <c r="G52">
        <v>240.81</v>
      </c>
      <c r="H52" t="s">
        <v>233</v>
      </c>
      <c r="I52" t="s">
        <v>234</v>
      </c>
      <c r="J52">
        <v>5</v>
      </c>
      <c r="K52" t="s">
        <v>247</v>
      </c>
    </row>
    <row r="53" spans="1:11" x14ac:dyDescent="0.35">
      <c r="A53" s="15">
        <v>45563</v>
      </c>
      <c r="B53" t="s">
        <v>12</v>
      </c>
      <c r="C53" t="s">
        <v>212</v>
      </c>
      <c r="D53" t="s">
        <v>32</v>
      </c>
      <c r="E53">
        <v>18</v>
      </c>
      <c r="F53">
        <v>328.98</v>
      </c>
      <c r="G53">
        <v>5921.64</v>
      </c>
      <c r="H53" t="s">
        <v>230</v>
      </c>
      <c r="I53" t="s">
        <v>236</v>
      </c>
      <c r="J53">
        <v>9</v>
      </c>
      <c r="K53" t="s">
        <v>245</v>
      </c>
    </row>
    <row r="54" spans="1:11" x14ac:dyDescent="0.35">
      <c r="A54" s="15">
        <v>45198</v>
      </c>
      <c r="B54" t="s">
        <v>16</v>
      </c>
      <c r="C54" t="s">
        <v>221</v>
      </c>
      <c r="D54" t="s">
        <v>32</v>
      </c>
      <c r="E54">
        <v>8</v>
      </c>
      <c r="F54">
        <v>339.89</v>
      </c>
      <c r="G54">
        <v>2719.12</v>
      </c>
      <c r="H54" t="s">
        <v>233</v>
      </c>
      <c r="I54" t="s">
        <v>236</v>
      </c>
      <c r="J54">
        <v>9</v>
      </c>
      <c r="K54" t="s">
        <v>245</v>
      </c>
    </row>
    <row r="55" spans="1:11" x14ac:dyDescent="0.35">
      <c r="A55" s="15">
        <v>45088</v>
      </c>
      <c r="B55" t="s">
        <v>41</v>
      </c>
      <c r="C55" t="s">
        <v>217</v>
      </c>
      <c r="D55" t="s">
        <v>10</v>
      </c>
      <c r="E55">
        <v>20</v>
      </c>
      <c r="F55">
        <v>141.47999999999999</v>
      </c>
      <c r="G55">
        <v>2829.6</v>
      </c>
      <c r="H55" t="s">
        <v>233</v>
      </c>
      <c r="I55" t="s">
        <v>234</v>
      </c>
      <c r="J55">
        <v>6</v>
      </c>
      <c r="K55" t="s">
        <v>241</v>
      </c>
    </row>
    <row r="56" spans="1:11" x14ac:dyDescent="0.35">
      <c r="A56" s="15">
        <v>45596</v>
      </c>
      <c r="B56" t="s">
        <v>12</v>
      </c>
      <c r="C56" t="s">
        <v>9</v>
      </c>
      <c r="D56" t="s">
        <v>18</v>
      </c>
      <c r="E56">
        <v>10</v>
      </c>
      <c r="F56">
        <v>216.18</v>
      </c>
      <c r="G56">
        <v>2161.8000000000002</v>
      </c>
      <c r="H56" t="s">
        <v>230</v>
      </c>
      <c r="I56" t="s">
        <v>231</v>
      </c>
      <c r="J56">
        <v>10</v>
      </c>
      <c r="K56" t="s">
        <v>232</v>
      </c>
    </row>
    <row r="57" spans="1:11" x14ac:dyDescent="0.35">
      <c r="A57" s="15">
        <v>45033</v>
      </c>
      <c r="B57" t="s">
        <v>16</v>
      </c>
      <c r="C57" t="s">
        <v>216</v>
      </c>
      <c r="D57" t="s">
        <v>32</v>
      </c>
      <c r="E57">
        <v>4</v>
      </c>
      <c r="F57">
        <v>365.92</v>
      </c>
      <c r="G57">
        <v>1463.68</v>
      </c>
      <c r="H57" t="s">
        <v>233</v>
      </c>
      <c r="I57" t="s">
        <v>234</v>
      </c>
      <c r="J57">
        <v>4</v>
      </c>
      <c r="K57" t="s">
        <v>235</v>
      </c>
    </row>
    <row r="58" spans="1:11" x14ac:dyDescent="0.35">
      <c r="A58" s="15">
        <v>45086</v>
      </c>
      <c r="B58" t="s">
        <v>35</v>
      </c>
      <c r="C58" t="s">
        <v>216</v>
      </c>
      <c r="D58" t="s">
        <v>213</v>
      </c>
      <c r="E58">
        <v>7</v>
      </c>
      <c r="F58">
        <v>124.18</v>
      </c>
      <c r="G58">
        <v>869.26</v>
      </c>
      <c r="H58" t="s">
        <v>233</v>
      </c>
      <c r="I58" t="s">
        <v>234</v>
      </c>
      <c r="J58">
        <v>6</v>
      </c>
      <c r="K58" t="s">
        <v>241</v>
      </c>
    </row>
    <row r="59" spans="1:11" x14ac:dyDescent="0.35">
      <c r="A59" s="15">
        <v>45135</v>
      </c>
      <c r="B59" t="s">
        <v>35</v>
      </c>
      <c r="C59" t="s">
        <v>217</v>
      </c>
      <c r="D59" t="s">
        <v>220</v>
      </c>
      <c r="E59">
        <v>9</v>
      </c>
      <c r="F59">
        <v>52.97</v>
      </c>
      <c r="G59">
        <v>476.73</v>
      </c>
      <c r="H59" t="s">
        <v>233</v>
      </c>
      <c r="I59" t="s">
        <v>236</v>
      </c>
      <c r="J59">
        <v>7</v>
      </c>
      <c r="K59" t="s">
        <v>237</v>
      </c>
    </row>
    <row r="60" spans="1:11" x14ac:dyDescent="0.35">
      <c r="A60" s="15">
        <v>44979</v>
      </c>
      <c r="B60" t="s">
        <v>8</v>
      </c>
      <c r="C60" t="s">
        <v>215</v>
      </c>
      <c r="D60" t="s">
        <v>10</v>
      </c>
      <c r="E60">
        <v>2</v>
      </c>
      <c r="F60">
        <v>116.19</v>
      </c>
      <c r="G60">
        <v>232.38</v>
      </c>
      <c r="H60" t="s">
        <v>233</v>
      </c>
      <c r="I60" t="s">
        <v>238</v>
      </c>
      <c r="J60">
        <v>2</v>
      </c>
      <c r="K60" t="s">
        <v>244</v>
      </c>
    </row>
    <row r="61" spans="1:11" x14ac:dyDescent="0.35">
      <c r="A61" s="15">
        <v>45060</v>
      </c>
      <c r="B61" t="s">
        <v>35</v>
      </c>
      <c r="C61" t="s">
        <v>218</v>
      </c>
      <c r="D61" t="s">
        <v>220</v>
      </c>
      <c r="E61">
        <v>18</v>
      </c>
      <c r="F61">
        <v>51.02</v>
      </c>
      <c r="G61">
        <v>918.36</v>
      </c>
      <c r="H61" t="s">
        <v>233</v>
      </c>
      <c r="I61" t="s">
        <v>234</v>
      </c>
      <c r="J61">
        <v>5</v>
      </c>
      <c r="K61" t="s">
        <v>247</v>
      </c>
    </row>
    <row r="62" spans="1:11" x14ac:dyDescent="0.35">
      <c r="A62" s="15">
        <v>45501</v>
      </c>
      <c r="B62" t="s">
        <v>8</v>
      </c>
      <c r="C62" t="s">
        <v>212</v>
      </c>
      <c r="D62" t="s">
        <v>32</v>
      </c>
      <c r="E62">
        <v>5</v>
      </c>
      <c r="F62">
        <v>352.18</v>
      </c>
      <c r="G62">
        <v>1760.9</v>
      </c>
      <c r="H62" t="s">
        <v>230</v>
      </c>
      <c r="I62" t="s">
        <v>236</v>
      </c>
      <c r="J62">
        <v>7</v>
      </c>
      <c r="K62" t="s">
        <v>237</v>
      </c>
    </row>
    <row r="63" spans="1:11" x14ac:dyDescent="0.35">
      <c r="A63" s="15">
        <v>45305</v>
      </c>
      <c r="B63" t="s">
        <v>12</v>
      </c>
      <c r="C63" t="s">
        <v>217</v>
      </c>
      <c r="D63" t="s">
        <v>39</v>
      </c>
      <c r="E63">
        <v>14</v>
      </c>
      <c r="F63">
        <v>73.11</v>
      </c>
      <c r="G63">
        <v>1023.54</v>
      </c>
      <c r="H63" t="s">
        <v>230</v>
      </c>
      <c r="I63" t="s">
        <v>238</v>
      </c>
      <c r="J63">
        <v>1</v>
      </c>
      <c r="K63" t="s">
        <v>239</v>
      </c>
    </row>
    <row r="64" spans="1:11" x14ac:dyDescent="0.35">
      <c r="A64" s="15">
        <v>45242</v>
      </c>
      <c r="B64" t="s">
        <v>35</v>
      </c>
      <c r="C64" t="s">
        <v>9</v>
      </c>
      <c r="D64" t="s">
        <v>23</v>
      </c>
      <c r="E64">
        <v>7</v>
      </c>
      <c r="F64">
        <v>92.24</v>
      </c>
      <c r="G64">
        <v>645.67999999999995</v>
      </c>
      <c r="H64" t="s">
        <v>233</v>
      </c>
      <c r="I64" t="s">
        <v>231</v>
      </c>
      <c r="J64">
        <v>11</v>
      </c>
      <c r="K64" t="s">
        <v>242</v>
      </c>
    </row>
    <row r="65" spans="1:11" x14ac:dyDescent="0.35">
      <c r="A65" s="15">
        <v>45609</v>
      </c>
      <c r="B65" t="s">
        <v>8</v>
      </c>
      <c r="C65" t="s">
        <v>221</v>
      </c>
      <c r="D65" t="s">
        <v>18</v>
      </c>
      <c r="E65">
        <v>14</v>
      </c>
      <c r="F65">
        <v>217.86</v>
      </c>
      <c r="G65">
        <v>3050.04</v>
      </c>
      <c r="H65" t="s">
        <v>230</v>
      </c>
      <c r="I65" t="s">
        <v>231</v>
      </c>
      <c r="J65">
        <v>11</v>
      </c>
      <c r="K65" t="s">
        <v>242</v>
      </c>
    </row>
    <row r="66" spans="1:11" x14ac:dyDescent="0.35">
      <c r="A66" s="15">
        <v>45085</v>
      </c>
      <c r="B66" t="s">
        <v>16</v>
      </c>
      <c r="C66" t="s">
        <v>218</v>
      </c>
      <c r="D66" t="s">
        <v>39</v>
      </c>
      <c r="E66">
        <v>14</v>
      </c>
      <c r="F66">
        <v>71.489999999999995</v>
      </c>
      <c r="G66">
        <v>1000.86</v>
      </c>
      <c r="H66" t="s">
        <v>233</v>
      </c>
      <c r="I66" t="s">
        <v>234</v>
      </c>
      <c r="J66">
        <v>6</v>
      </c>
      <c r="K66" t="s">
        <v>241</v>
      </c>
    </row>
    <row r="67" spans="1:11" x14ac:dyDescent="0.35">
      <c r="A67" s="15">
        <v>45267</v>
      </c>
      <c r="B67" t="s">
        <v>41</v>
      </c>
      <c r="C67" t="s">
        <v>214</v>
      </c>
      <c r="D67" t="s">
        <v>10</v>
      </c>
      <c r="E67">
        <v>6</v>
      </c>
      <c r="F67">
        <v>136.41</v>
      </c>
      <c r="G67">
        <v>818.46</v>
      </c>
      <c r="H67" t="s">
        <v>233</v>
      </c>
      <c r="I67" t="s">
        <v>231</v>
      </c>
      <c r="J67">
        <v>12</v>
      </c>
      <c r="K67" t="s">
        <v>240</v>
      </c>
    </row>
    <row r="68" spans="1:11" x14ac:dyDescent="0.35">
      <c r="A68" s="15">
        <v>45037</v>
      </c>
      <c r="B68" t="s">
        <v>41</v>
      </c>
      <c r="C68" t="s">
        <v>9</v>
      </c>
      <c r="D68" t="s">
        <v>220</v>
      </c>
      <c r="E68">
        <v>8</v>
      </c>
      <c r="F68">
        <v>46.06</v>
      </c>
      <c r="G68">
        <v>368.48</v>
      </c>
      <c r="H68" t="s">
        <v>233</v>
      </c>
      <c r="I68" t="s">
        <v>234</v>
      </c>
      <c r="J68">
        <v>4</v>
      </c>
      <c r="K68" t="s">
        <v>235</v>
      </c>
    </row>
    <row r="69" spans="1:11" x14ac:dyDescent="0.35">
      <c r="A69" s="15">
        <v>45398</v>
      </c>
      <c r="B69" t="s">
        <v>35</v>
      </c>
      <c r="C69" t="s">
        <v>216</v>
      </c>
      <c r="D69" t="s">
        <v>21</v>
      </c>
      <c r="E69">
        <v>8</v>
      </c>
      <c r="F69">
        <v>35.28</v>
      </c>
      <c r="G69">
        <v>282.24</v>
      </c>
      <c r="H69" t="s">
        <v>230</v>
      </c>
      <c r="I69" t="s">
        <v>234</v>
      </c>
      <c r="J69">
        <v>4</v>
      </c>
      <c r="K69" t="s">
        <v>235</v>
      </c>
    </row>
    <row r="70" spans="1:11" x14ac:dyDescent="0.35">
      <c r="A70" s="15">
        <v>45124</v>
      </c>
      <c r="B70" t="s">
        <v>41</v>
      </c>
      <c r="C70" t="s">
        <v>221</v>
      </c>
      <c r="D70" t="s">
        <v>10</v>
      </c>
      <c r="E70">
        <v>3</v>
      </c>
      <c r="F70">
        <v>141.05000000000001</v>
      </c>
      <c r="G70">
        <v>423.15</v>
      </c>
      <c r="H70" t="s">
        <v>233</v>
      </c>
      <c r="I70" t="s">
        <v>236</v>
      </c>
      <c r="J70">
        <v>7</v>
      </c>
      <c r="K70" t="s">
        <v>237</v>
      </c>
    </row>
    <row r="71" spans="1:11" x14ac:dyDescent="0.35">
      <c r="A71" s="15">
        <v>45212</v>
      </c>
      <c r="B71" t="s">
        <v>35</v>
      </c>
      <c r="C71" t="s">
        <v>217</v>
      </c>
      <c r="D71" t="s">
        <v>25</v>
      </c>
      <c r="E71">
        <v>18</v>
      </c>
      <c r="F71">
        <v>288.89999999999998</v>
      </c>
      <c r="G71">
        <v>5200.2</v>
      </c>
      <c r="H71" t="s">
        <v>233</v>
      </c>
      <c r="I71" t="s">
        <v>231</v>
      </c>
      <c r="J71">
        <v>10</v>
      </c>
      <c r="K71" t="s">
        <v>232</v>
      </c>
    </row>
    <row r="72" spans="1:11" x14ac:dyDescent="0.35">
      <c r="A72" s="15">
        <v>44955</v>
      </c>
      <c r="B72" t="s">
        <v>8</v>
      </c>
      <c r="C72" t="s">
        <v>216</v>
      </c>
      <c r="D72" t="s">
        <v>39</v>
      </c>
      <c r="E72">
        <v>19</v>
      </c>
      <c r="F72">
        <v>86.31</v>
      </c>
      <c r="G72">
        <v>1639.89</v>
      </c>
      <c r="H72" t="s">
        <v>233</v>
      </c>
      <c r="I72" t="s">
        <v>238</v>
      </c>
      <c r="J72">
        <v>1</v>
      </c>
      <c r="K72" t="s">
        <v>239</v>
      </c>
    </row>
    <row r="73" spans="1:11" x14ac:dyDescent="0.35">
      <c r="A73" s="15">
        <v>45198</v>
      </c>
      <c r="B73" t="s">
        <v>8</v>
      </c>
      <c r="C73" t="s">
        <v>212</v>
      </c>
      <c r="D73" t="s">
        <v>213</v>
      </c>
      <c r="E73">
        <v>14</v>
      </c>
      <c r="F73">
        <v>115.33</v>
      </c>
      <c r="G73">
        <v>1614.62</v>
      </c>
      <c r="H73" t="s">
        <v>233</v>
      </c>
      <c r="I73" t="s">
        <v>236</v>
      </c>
      <c r="J73">
        <v>9</v>
      </c>
      <c r="K73" t="s">
        <v>245</v>
      </c>
    </row>
    <row r="74" spans="1:11" x14ac:dyDescent="0.35">
      <c r="A74" s="15">
        <v>45248</v>
      </c>
      <c r="B74" t="s">
        <v>41</v>
      </c>
      <c r="C74" t="s">
        <v>219</v>
      </c>
      <c r="D74" t="s">
        <v>18</v>
      </c>
      <c r="E74">
        <v>4</v>
      </c>
      <c r="F74">
        <v>194.43</v>
      </c>
      <c r="G74">
        <v>777.72</v>
      </c>
      <c r="H74" t="s">
        <v>233</v>
      </c>
      <c r="I74" t="s">
        <v>231</v>
      </c>
      <c r="J74">
        <v>11</v>
      </c>
      <c r="K74" t="s">
        <v>242</v>
      </c>
    </row>
    <row r="75" spans="1:11" x14ac:dyDescent="0.35">
      <c r="A75" s="15">
        <v>45517</v>
      </c>
      <c r="B75" t="s">
        <v>16</v>
      </c>
      <c r="C75" t="s">
        <v>216</v>
      </c>
      <c r="D75" t="s">
        <v>28</v>
      </c>
      <c r="E75">
        <v>14</v>
      </c>
      <c r="F75">
        <v>899.44</v>
      </c>
      <c r="G75">
        <v>12592.16</v>
      </c>
      <c r="H75" t="s">
        <v>230</v>
      </c>
      <c r="I75" t="s">
        <v>236</v>
      </c>
      <c r="J75">
        <v>8</v>
      </c>
      <c r="K75" t="s">
        <v>246</v>
      </c>
    </row>
    <row r="76" spans="1:11" x14ac:dyDescent="0.35">
      <c r="A76" s="15">
        <v>45478</v>
      </c>
      <c r="B76" t="s">
        <v>16</v>
      </c>
      <c r="C76" t="s">
        <v>221</v>
      </c>
      <c r="D76" t="s">
        <v>25</v>
      </c>
      <c r="E76">
        <v>3</v>
      </c>
      <c r="F76">
        <v>325.83999999999997</v>
      </c>
      <c r="G76">
        <v>977.52</v>
      </c>
      <c r="H76" t="s">
        <v>230</v>
      </c>
      <c r="I76" t="s">
        <v>236</v>
      </c>
      <c r="J76">
        <v>7</v>
      </c>
      <c r="K76" t="s">
        <v>237</v>
      </c>
    </row>
    <row r="77" spans="1:11" x14ac:dyDescent="0.35">
      <c r="A77" s="15">
        <v>45265</v>
      </c>
      <c r="B77" t="s">
        <v>12</v>
      </c>
      <c r="C77" t="s">
        <v>221</v>
      </c>
      <c r="D77" t="s">
        <v>32</v>
      </c>
      <c r="E77">
        <v>10</v>
      </c>
      <c r="F77">
        <v>349.5</v>
      </c>
      <c r="G77">
        <v>3495</v>
      </c>
      <c r="H77" t="s">
        <v>233</v>
      </c>
      <c r="I77" t="s">
        <v>231</v>
      </c>
      <c r="J77">
        <v>12</v>
      </c>
      <c r="K77" t="s">
        <v>240</v>
      </c>
    </row>
    <row r="78" spans="1:11" x14ac:dyDescent="0.35">
      <c r="A78" s="15">
        <v>45609</v>
      </c>
      <c r="B78" t="s">
        <v>41</v>
      </c>
      <c r="C78" t="s">
        <v>221</v>
      </c>
      <c r="D78" t="s">
        <v>25</v>
      </c>
      <c r="E78">
        <v>10</v>
      </c>
      <c r="F78">
        <v>302.25</v>
      </c>
      <c r="G78">
        <v>3022.5</v>
      </c>
      <c r="H78" t="s">
        <v>230</v>
      </c>
      <c r="I78" t="s">
        <v>231</v>
      </c>
      <c r="J78">
        <v>11</v>
      </c>
      <c r="K78" t="s">
        <v>242</v>
      </c>
    </row>
    <row r="79" spans="1:11" x14ac:dyDescent="0.35">
      <c r="A79" s="15">
        <v>45123</v>
      </c>
      <c r="B79" t="s">
        <v>41</v>
      </c>
      <c r="C79" t="s">
        <v>215</v>
      </c>
      <c r="D79" t="s">
        <v>39</v>
      </c>
      <c r="E79">
        <v>20</v>
      </c>
      <c r="F79">
        <v>80.09</v>
      </c>
      <c r="G79">
        <v>1601.8</v>
      </c>
      <c r="H79" t="s">
        <v>233</v>
      </c>
      <c r="I79" t="s">
        <v>236</v>
      </c>
      <c r="J79">
        <v>7</v>
      </c>
      <c r="K79" t="s">
        <v>237</v>
      </c>
    </row>
    <row r="80" spans="1:11" x14ac:dyDescent="0.35">
      <c r="A80" s="15">
        <v>45342</v>
      </c>
      <c r="B80" t="s">
        <v>12</v>
      </c>
      <c r="C80" t="s">
        <v>9</v>
      </c>
      <c r="D80" t="s">
        <v>10</v>
      </c>
      <c r="E80">
        <v>10</v>
      </c>
      <c r="F80">
        <v>121.52</v>
      </c>
      <c r="G80">
        <v>1215.2</v>
      </c>
      <c r="H80" t="s">
        <v>230</v>
      </c>
      <c r="I80" t="s">
        <v>238</v>
      </c>
      <c r="J80">
        <v>2</v>
      </c>
      <c r="K80" t="s">
        <v>244</v>
      </c>
    </row>
    <row r="81" spans="1:11" x14ac:dyDescent="0.35">
      <c r="A81" s="15">
        <v>45520</v>
      </c>
      <c r="B81" t="s">
        <v>12</v>
      </c>
      <c r="C81" t="s">
        <v>221</v>
      </c>
      <c r="D81" t="s">
        <v>220</v>
      </c>
      <c r="E81">
        <v>15</v>
      </c>
      <c r="F81">
        <v>48.43</v>
      </c>
      <c r="G81">
        <v>726.45</v>
      </c>
      <c r="H81" t="s">
        <v>230</v>
      </c>
      <c r="I81" t="s">
        <v>236</v>
      </c>
      <c r="J81">
        <v>8</v>
      </c>
      <c r="K81" t="s">
        <v>246</v>
      </c>
    </row>
    <row r="82" spans="1:11" x14ac:dyDescent="0.35">
      <c r="A82" s="15">
        <v>45145</v>
      </c>
      <c r="B82" t="s">
        <v>12</v>
      </c>
      <c r="C82" t="s">
        <v>222</v>
      </c>
      <c r="D82" t="s">
        <v>39</v>
      </c>
      <c r="E82">
        <v>3</v>
      </c>
      <c r="F82">
        <v>75.58</v>
      </c>
      <c r="G82">
        <v>226.74</v>
      </c>
      <c r="H82" t="s">
        <v>233</v>
      </c>
      <c r="I82" t="s">
        <v>236</v>
      </c>
      <c r="J82">
        <v>8</v>
      </c>
      <c r="K82" t="s">
        <v>246</v>
      </c>
    </row>
    <row r="83" spans="1:11" x14ac:dyDescent="0.35">
      <c r="A83" s="15">
        <v>45606</v>
      </c>
      <c r="B83" t="s">
        <v>12</v>
      </c>
      <c r="C83" t="s">
        <v>221</v>
      </c>
      <c r="D83" t="s">
        <v>32</v>
      </c>
      <c r="E83">
        <v>8</v>
      </c>
      <c r="F83">
        <v>361.06</v>
      </c>
      <c r="G83">
        <v>2888.48</v>
      </c>
      <c r="H83" t="s">
        <v>230</v>
      </c>
      <c r="I83" t="s">
        <v>231</v>
      </c>
      <c r="J83">
        <v>11</v>
      </c>
      <c r="K83" t="s">
        <v>242</v>
      </c>
    </row>
    <row r="84" spans="1:11" x14ac:dyDescent="0.35">
      <c r="A84" s="15">
        <v>45157</v>
      </c>
      <c r="B84" t="s">
        <v>16</v>
      </c>
      <c r="C84" t="s">
        <v>218</v>
      </c>
      <c r="D84" t="s">
        <v>28</v>
      </c>
      <c r="E84">
        <v>2</v>
      </c>
      <c r="F84">
        <v>948.02</v>
      </c>
      <c r="G84">
        <v>1896.04</v>
      </c>
      <c r="H84" t="s">
        <v>233</v>
      </c>
      <c r="I84" t="s">
        <v>236</v>
      </c>
      <c r="J84">
        <v>8</v>
      </c>
      <c r="K84" t="s">
        <v>246</v>
      </c>
    </row>
    <row r="85" spans="1:11" x14ac:dyDescent="0.35">
      <c r="A85" s="15">
        <v>45413</v>
      </c>
      <c r="B85" t="s">
        <v>12</v>
      </c>
      <c r="C85" t="s">
        <v>212</v>
      </c>
      <c r="D85" t="s">
        <v>220</v>
      </c>
      <c r="E85">
        <v>14</v>
      </c>
      <c r="F85">
        <v>52.78</v>
      </c>
      <c r="G85">
        <v>738.92</v>
      </c>
      <c r="H85" t="s">
        <v>230</v>
      </c>
      <c r="I85" t="s">
        <v>234</v>
      </c>
      <c r="J85">
        <v>5</v>
      </c>
      <c r="K85" t="s">
        <v>247</v>
      </c>
    </row>
    <row r="86" spans="1:11" x14ac:dyDescent="0.35">
      <c r="A86" s="15">
        <v>45516</v>
      </c>
      <c r="B86" t="s">
        <v>16</v>
      </c>
      <c r="C86" t="s">
        <v>215</v>
      </c>
      <c r="D86" t="s">
        <v>220</v>
      </c>
      <c r="E86">
        <v>13</v>
      </c>
      <c r="F86">
        <v>46.49</v>
      </c>
      <c r="G86">
        <v>604.37</v>
      </c>
      <c r="H86" t="s">
        <v>230</v>
      </c>
      <c r="I86" t="s">
        <v>236</v>
      </c>
      <c r="J86">
        <v>8</v>
      </c>
      <c r="K86" t="s">
        <v>246</v>
      </c>
    </row>
    <row r="87" spans="1:11" x14ac:dyDescent="0.35">
      <c r="A87" s="15">
        <v>45598</v>
      </c>
      <c r="B87" t="s">
        <v>8</v>
      </c>
      <c r="C87" t="s">
        <v>212</v>
      </c>
      <c r="D87" t="s">
        <v>25</v>
      </c>
      <c r="E87">
        <v>8</v>
      </c>
      <c r="F87">
        <v>279.62</v>
      </c>
      <c r="G87">
        <v>2236.96</v>
      </c>
      <c r="H87" t="s">
        <v>230</v>
      </c>
      <c r="I87" t="s">
        <v>231</v>
      </c>
      <c r="J87">
        <v>11</v>
      </c>
      <c r="K87" t="s">
        <v>242</v>
      </c>
    </row>
    <row r="88" spans="1:11" x14ac:dyDescent="0.35">
      <c r="A88" s="15">
        <v>45639</v>
      </c>
      <c r="B88" t="s">
        <v>12</v>
      </c>
      <c r="C88" t="s">
        <v>222</v>
      </c>
      <c r="D88" t="s">
        <v>28</v>
      </c>
      <c r="E88">
        <v>18</v>
      </c>
      <c r="F88">
        <v>948.89</v>
      </c>
      <c r="G88">
        <v>17080.02</v>
      </c>
      <c r="H88" t="s">
        <v>230</v>
      </c>
      <c r="I88" t="s">
        <v>231</v>
      </c>
      <c r="J88">
        <v>12</v>
      </c>
      <c r="K88" t="s">
        <v>240</v>
      </c>
    </row>
    <row r="89" spans="1:11" x14ac:dyDescent="0.35">
      <c r="A89" s="15">
        <v>45051</v>
      </c>
      <c r="B89" t="s">
        <v>41</v>
      </c>
      <c r="C89" t="s">
        <v>218</v>
      </c>
      <c r="D89" t="s">
        <v>220</v>
      </c>
      <c r="E89">
        <v>17</v>
      </c>
      <c r="F89">
        <v>53.78</v>
      </c>
      <c r="G89">
        <v>914.26</v>
      </c>
      <c r="H89" t="s">
        <v>233</v>
      </c>
      <c r="I89" t="s">
        <v>234</v>
      </c>
      <c r="J89">
        <v>5</v>
      </c>
      <c r="K89" t="s">
        <v>247</v>
      </c>
    </row>
    <row r="90" spans="1:11" x14ac:dyDescent="0.35">
      <c r="A90" s="15">
        <v>45536</v>
      </c>
      <c r="B90" t="s">
        <v>35</v>
      </c>
      <c r="C90" t="s">
        <v>222</v>
      </c>
      <c r="D90" t="s">
        <v>213</v>
      </c>
      <c r="E90">
        <v>17</v>
      </c>
      <c r="F90">
        <v>117.26</v>
      </c>
      <c r="G90">
        <v>1993.42</v>
      </c>
      <c r="H90" t="s">
        <v>230</v>
      </c>
      <c r="I90" t="s">
        <v>236</v>
      </c>
      <c r="J90">
        <v>9</v>
      </c>
      <c r="K90" t="s">
        <v>245</v>
      </c>
    </row>
    <row r="91" spans="1:11" x14ac:dyDescent="0.35">
      <c r="A91" s="15">
        <v>45488</v>
      </c>
      <c r="B91" t="s">
        <v>41</v>
      </c>
      <c r="C91" t="s">
        <v>218</v>
      </c>
      <c r="D91" t="s">
        <v>220</v>
      </c>
      <c r="E91">
        <v>15</v>
      </c>
      <c r="F91">
        <v>46.64</v>
      </c>
      <c r="G91">
        <v>699.6</v>
      </c>
      <c r="H91" t="s">
        <v>230</v>
      </c>
      <c r="I91" t="s">
        <v>236</v>
      </c>
      <c r="J91">
        <v>7</v>
      </c>
      <c r="K91" t="s">
        <v>237</v>
      </c>
    </row>
    <row r="92" spans="1:11" x14ac:dyDescent="0.35">
      <c r="A92" s="15">
        <v>45180</v>
      </c>
      <c r="B92" t="s">
        <v>35</v>
      </c>
      <c r="C92" t="s">
        <v>217</v>
      </c>
      <c r="D92" t="s">
        <v>220</v>
      </c>
      <c r="E92">
        <v>8</v>
      </c>
      <c r="F92">
        <v>46.79</v>
      </c>
      <c r="G92">
        <v>374.32</v>
      </c>
      <c r="H92" t="s">
        <v>233</v>
      </c>
      <c r="I92" t="s">
        <v>236</v>
      </c>
      <c r="J92">
        <v>9</v>
      </c>
      <c r="K92" t="s">
        <v>245</v>
      </c>
    </row>
    <row r="93" spans="1:11" x14ac:dyDescent="0.35">
      <c r="A93" s="15">
        <v>45006</v>
      </c>
      <c r="B93" t="s">
        <v>35</v>
      </c>
      <c r="C93" t="s">
        <v>214</v>
      </c>
      <c r="D93" t="s">
        <v>10</v>
      </c>
      <c r="E93">
        <v>11</v>
      </c>
      <c r="F93">
        <v>124.35</v>
      </c>
      <c r="G93">
        <v>1367.85</v>
      </c>
      <c r="H93" t="s">
        <v>233</v>
      </c>
      <c r="I93" t="s">
        <v>238</v>
      </c>
      <c r="J93">
        <v>3</v>
      </c>
      <c r="K93" t="s">
        <v>243</v>
      </c>
    </row>
    <row r="94" spans="1:11" x14ac:dyDescent="0.35">
      <c r="A94" s="15">
        <v>45480</v>
      </c>
      <c r="B94" t="s">
        <v>8</v>
      </c>
      <c r="C94" t="s">
        <v>218</v>
      </c>
      <c r="D94" t="s">
        <v>39</v>
      </c>
      <c r="E94">
        <v>8</v>
      </c>
      <c r="F94">
        <v>77.150000000000006</v>
      </c>
      <c r="G94">
        <v>617.20000000000005</v>
      </c>
      <c r="H94" t="s">
        <v>230</v>
      </c>
      <c r="I94" t="s">
        <v>236</v>
      </c>
      <c r="J94">
        <v>7</v>
      </c>
      <c r="K94" t="s">
        <v>237</v>
      </c>
    </row>
    <row r="95" spans="1:11" x14ac:dyDescent="0.35">
      <c r="A95" s="15">
        <v>45083</v>
      </c>
      <c r="B95" t="s">
        <v>16</v>
      </c>
      <c r="C95" t="s">
        <v>212</v>
      </c>
      <c r="D95" t="s">
        <v>25</v>
      </c>
      <c r="E95">
        <v>14</v>
      </c>
      <c r="F95">
        <v>288.89</v>
      </c>
      <c r="G95">
        <v>4044.46</v>
      </c>
      <c r="H95" t="s">
        <v>233</v>
      </c>
      <c r="I95" t="s">
        <v>234</v>
      </c>
      <c r="J95">
        <v>6</v>
      </c>
      <c r="K95" t="s">
        <v>241</v>
      </c>
    </row>
    <row r="96" spans="1:11" x14ac:dyDescent="0.35">
      <c r="A96" s="15">
        <v>45404</v>
      </c>
      <c r="B96" t="s">
        <v>41</v>
      </c>
      <c r="C96" t="s">
        <v>9</v>
      </c>
      <c r="D96" t="s">
        <v>21</v>
      </c>
      <c r="E96">
        <v>14</v>
      </c>
      <c r="F96">
        <v>38.14</v>
      </c>
      <c r="G96">
        <v>533.96</v>
      </c>
      <c r="H96" t="s">
        <v>230</v>
      </c>
      <c r="I96" t="s">
        <v>234</v>
      </c>
      <c r="J96">
        <v>4</v>
      </c>
      <c r="K96" t="s">
        <v>235</v>
      </c>
    </row>
    <row r="97" spans="1:11" x14ac:dyDescent="0.35">
      <c r="A97" s="15">
        <v>45525</v>
      </c>
      <c r="B97" t="s">
        <v>8</v>
      </c>
      <c r="C97" t="s">
        <v>219</v>
      </c>
      <c r="D97" t="s">
        <v>25</v>
      </c>
      <c r="E97">
        <v>16</v>
      </c>
      <c r="F97">
        <v>269.45</v>
      </c>
      <c r="G97">
        <v>4311.2</v>
      </c>
      <c r="H97" t="s">
        <v>230</v>
      </c>
      <c r="I97" t="s">
        <v>236</v>
      </c>
      <c r="J97">
        <v>8</v>
      </c>
      <c r="K97" t="s">
        <v>246</v>
      </c>
    </row>
    <row r="98" spans="1:11" x14ac:dyDescent="0.35">
      <c r="A98" s="15">
        <v>45287</v>
      </c>
      <c r="B98" t="s">
        <v>35</v>
      </c>
      <c r="C98" t="s">
        <v>215</v>
      </c>
      <c r="D98" t="s">
        <v>25</v>
      </c>
      <c r="E98">
        <v>18</v>
      </c>
      <c r="F98">
        <v>313.8</v>
      </c>
      <c r="G98">
        <v>5648.4</v>
      </c>
      <c r="H98" t="s">
        <v>233</v>
      </c>
      <c r="I98" t="s">
        <v>231</v>
      </c>
      <c r="J98">
        <v>12</v>
      </c>
      <c r="K98" t="s">
        <v>240</v>
      </c>
    </row>
    <row r="99" spans="1:11" x14ac:dyDescent="0.35">
      <c r="A99" s="15">
        <v>45486</v>
      </c>
      <c r="B99" t="s">
        <v>12</v>
      </c>
      <c r="C99" t="s">
        <v>214</v>
      </c>
      <c r="D99" t="s">
        <v>220</v>
      </c>
      <c r="E99">
        <v>8</v>
      </c>
      <c r="F99">
        <v>46.77</v>
      </c>
      <c r="G99">
        <v>374.16</v>
      </c>
      <c r="H99" t="s">
        <v>230</v>
      </c>
      <c r="I99" t="s">
        <v>236</v>
      </c>
      <c r="J99">
        <v>7</v>
      </c>
      <c r="K99" t="s">
        <v>237</v>
      </c>
    </row>
    <row r="100" spans="1:11" x14ac:dyDescent="0.35">
      <c r="A100" s="15">
        <v>45424</v>
      </c>
      <c r="B100" t="s">
        <v>8</v>
      </c>
      <c r="C100" t="s">
        <v>215</v>
      </c>
      <c r="D100" t="s">
        <v>23</v>
      </c>
      <c r="E100">
        <v>13</v>
      </c>
      <c r="F100">
        <v>92.99</v>
      </c>
      <c r="G100">
        <v>1208.8699999999999</v>
      </c>
      <c r="H100" t="s">
        <v>230</v>
      </c>
      <c r="I100" t="s">
        <v>234</v>
      </c>
      <c r="J100">
        <v>5</v>
      </c>
      <c r="K100" t="s">
        <v>247</v>
      </c>
    </row>
    <row r="101" spans="1:11" x14ac:dyDescent="0.35">
      <c r="A101" s="15">
        <v>45405</v>
      </c>
      <c r="B101" t="s">
        <v>16</v>
      </c>
      <c r="C101" t="s">
        <v>219</v>
      </c>
      <c r="D101" t="s">
        <v>18</v>
      </c>
      <c r="E101">
        <v>1</v>
      </c>
      <c r="F101">
        <v>215.2</v>
      </c>
      <c r="G101">
        <v>215.2</v>
      </c>
      <c r="H101" t="s">
        <v>230</v>
      </c>
      <c r="I101" t="s">
        <v>234</v>
      </c>
      <c r="J101">
        <v>4</v>
      </c>
      <c r="K101" t="s">
        <v>235</v>
      </c>
    </row>
    <row r="102" spans="1:11" x14ac:dyDescent="0.35">
      <c r="A102" s="15">
        <v>45533</v>
      </c>
      <c r="B102" t="s">
        <v>12</v>
      </c>
      <c r="C102" t="s">
        <v>9</v>
      </c>
      <c r="D102" t="s">
        <v>32</v>
      </c>
      <c r="E102">
        <v>14</v>
      </c>
      <c r="F102">
        <v>323.57</v>
      </c>
      <c r="G102">
        <v>4529.9799999999996</v>
      </c>
      <c r="H102" t="s">
        <v>230</v>
      </c>
      <c r="I102" t="s">
        <v>236</v>
      </c>
      <c r="J102">
        <v>8</v>
      </c>
      <c r="K102" t="s">
        <v>246</v>
      </c>
    </row>
    <row r="103" spans="1:11" x14ac:dyDescent="0.35">
      <c r="A103" s="15">
        <v>45399</v>
      </c>
      <c r="B103" t="s">
        <v>16</v>
      </c>
      <c r="C103" t="s">
        <v>9</v>
      </c>
      <c r="D103" t="s">
        <v>10</v>
      </c>
      <c r="E103">
        <v>13</v>
      </c>
      <c r="F103">
        <v>124.55</v>
      </c>
      <c r="G103">
        <v>1619.15</v>
      </c>
      <c r="H103" t="s">
        <v>230</v>
      </c>
      <c r="I103" t="s">
        <v>234</v>
      </c>
      <c r="J103">
        <v>4</v>
      </c>
      <c r="K103" t="s">
        <v>235</v>
      </c>
    </row>
    <row r="104" spans="1:11" x14ac:dyDescent="0.35">
      <c r="A104" s="15">
        <v>45392</v>
      </c>
      <c r="B104" t="s">
        <v>35</v>
      </c>
      <c r="C104" t="s">
        <v>221</v>
      </c>
      <c r="D104" t="s">
        <v>25</v>
      </c>
      <c r="E104">
        <v>9</v>
      </c>
      <c r="F104">
        <v>314.07</v>
      </c>
      <c r="G104">
        <v>2826.63</v>
      </c>
      <c r="H104" t="s">
        <v>230</v>
      </c>
      <c r="I104" t="s">
        <v>234</v>
      </c>
      <c r="J104">
        <v>4</v>
      </c>
      <c r="K104" t="s">
        <v>235</v>
      </c>
    </row>
    <row r="105" spans="1:11" x14ac:dyDescent="0.35">
      <c r="A105" s="15">
        <v>45358</v>
      </c>
      <c r="B105" t="s">
        <v>35</v>
      </c>
      <c r="C105" t="s">
        <v>212</v>
      </c>
      <c r="D105" t="s">
        <v>220</v>
      </c>
      <c r="E105">
        <v>1</v>
      </c>
      <c r="F105">
        <v>51.44</v>
      </c>
      <c r="G105">
        <v>51.44</v>
      </c>
      <c r="H105" t="s">
        <v>230</v>
      </c>
      <c r="I105" t="s">
        <v>238</v>
      </c>
      <c r="J105">
        <v>3</v>
      </c>
      <c r="K105" t="s">
        <v>243</v>
      </c>
    </row>
    <row r="106" spans="1:11" x14ac:dyDescent="0.35">
      <c r="A106" s="15">
        <v>44980</v>
      </c>
      <c r="B106" t="s">
        <v>35</v>
      </c>
      <c r="C106" t="s">
        <v>214</v>
      </c>
      <c r="D106" t="s">
        <v>32</v>
      </c>
      <c r="E106">
        <v>2</v>
      </c>
      <c r="F106">
        <v>366.75</v>
      </c>
      <c r="G106">
        <v>733.5</v>
      </c>
      <c r="H106" t="s">
        <v>233</v>
      </c>
      <c r="I106" t="s">
        <v>238</v>
      </c>
      <c r="J106">
        <v>2</v>
      </c>
      <c r="K106" t="s">
        <v>244</v>
      </c>
    </row>
    <row r="107" spans="1:11" x14ac:dyDescent="0.35">
      <c r="A107" s="15">
        <v>45180</v>
      </c>
      <c r="B107" t="s">
        <v>16</v>
      </c>
      <c r="C107" t="s">
        <v>9</v>
      </c>
      <c r="D107" t="s">
        <v>213</v>
      </c>
      <c r="E107">
        <v>5</v>
      </c>
      <c r="F107">
        <v>112.78</v>
      </c>
      <c r="G107">
        <v>563.9</v>
      </c>
      <c r="H107" t="s">
        <v>233</v>
      </c>
      <c r="I107" t="s">
        <v>236</v>
      </c>
      <c r="J107">
        <v>9</v>
      </c>
      <c r="K107" t="s">
        <v>245</v>
      </c>
    </row>
    <row r="108" spans="1:11" x14ac:dyDescent="0.35">
      <c r="A108" s="15">
        <v>45411</v>
      </c>
      <c r="B108" t="s">
        <v>8</v>
      </c>
      <c r="C108" t="s">
        <v>219</v>
      </c>
      <c r="D108" t="s">
        <v>21</v>
      </c>
      <c r="E108">
        <v>15</v>
      </c>
      <c r="F108">
        <v>40.56</v>
      </c>
      <c r="G108">
        <v>608.4</v>
      </c>
      <c r="H108" t="s">
        <v>230</v>
      </c>
      <c r="I108" t="s">
        <v>234</v>
      </c>
      <c r="J108">
        <v>4</v>
      </c>
      <c r="K108" t="s">
        <v>235</v>
      </c>
    </row>
    <row r="109" spans="1:11" x14ac:dyDescent="0.35">
      <c r="A109" s="15">
        <v>45304</v>
      </c>
      <c r="B109" t="s">
        <v>16</v>
      </c>
      <c r="C109" t="s">
        <v>219</v>
      </c>
      <c r="D109" t="s">
        <v>213</v>
      </c>
      <c r="E109">
        <v>4</v>
      </c>
      <c r="F109">
        <v>125.61</v>
      </c>
      <c r="G109">
        <v>502.44</v>
      </c>
      <c r="H109" t="s">
        <v>230</v>
      </c>
      <c r="I109" t="s">
        <v>238</v>
      </c>
      <c r="J109">
        <v>1</v>
      </c>
      <c r="K109" t="s">
        <v>239</v>
      </c>
    </row>
    <row r="110" spans="1:11" x14ac:dyDescent="0.35">
      <c r="A110" s="15">
        <v>45094</v>
      </c>
      <c r="B110" t="s">
        <v>35</v>
      </c>
      <c r="C110" t="s">
        <v>212</v>
      </c>
      <c r="D110" t="s">
        <v>213</v>
      </c>
      <c r="E110">
        <v>1</v>
      </c>
      <c r="F110">
        <v>129.21</v>
      </c>
      <c r="G110">
        <v>129.21</v>
      </c>
      <c r="H110" t="s">
        <v>233</v>
      </c>
      <c r="I110" t="s">
        <v>234</v>
      </c>
      <c r="J110">
        <v>6</v>
      </c>
      <c r="K110" t="s">
        <v>241</v>
      </c>
    </row>
    <row r="111" spans="1:11" x14ac:dyDescent="0.35">
      <c r="A111" s="15">
        <v>45516</v>
      </c>
      <c r="B111" t="s">
        <v>41</v>
      </c>
      <c r="C111" t="s">
        <v>215</v>
      </c>
      <c r="D111" t="s">
        <v>21</v>
      </c>
      <c r="E111">
        <v>3</v>
      </c>
      <c r="F111">
        <v>39.72</v>
      </c>
      <c r="G111">
        <v>119.16</v>
      </c>
      <c r="H111" t="s">
        <v>230</v>
      </c>
      <c r="I111" t="s">
        <v>236</v>
      </c>
      <c r="J111">
        <v>8</v>
      </c>
      <c r="K111" t="s">
        <v>246</v>
      </c>
    </row>
    <row r="112" spans="1:11" x14ac:dyDescent="0.35">
      <c r="A112" s="15">
        <v>45569</v>
      </c>
      <c r="B112" t="s">
        <v>16</v>
      </c>
      <c r="C112" t="s">
        <v>212</v>
      </c>
      <c r="D112" t="s">
        <v>10</v>
      </c>
      <c r="E112">
        <v>20</v>
      </c>
      <c r="F112">
        <v>136.88</v>
      </c>
      <c r="G112">
        <v>2737.6</v>
      </c>
      <c r="H112" t="s">
        <v>230</v>
      </c>
      <c r="I112" t="s">
        <v>231</v>
      </c>
      <c r="J112">
        <v>10</v>
      </c>
      <c r="K112" t="s">
        <v>232</v>
      </c>
    </row>
    <row r="113" spans="1:11" x14ac:dyDescent="0.35">
      <c r="A113" s="15">
        <v>45506</v>
      </c>
      <c r="B113" t="s">
        <v>8</v>
      </c>
      <c r="C113" t="s">
        <v>221</v>
      </c>
      <c r="D113" t="s">
        <v>18</v>
      </c>
      <c r="E113">
        <v>14</v>
      </c>
      <c r="F113">
        <v>205.43</v>
      </c>
      <c r="G113">
        <v>2876.02</v>
      </c>
      <c r="H113" t="s">
        <v>230</v>
      </c>
      <c r="I113" t="s">
        <v>236</v>
      </c>
      <c r="J113">
        <v>8</v>
      </c>
      <c r="K113" t="s">
        <v>246</v>
      </c>
    </row>
    <row r="114" spans="1:11" x14ac:dyDescent="0.35">
      <c r="A114" s="15">
        <v>44997</v>
      </c>
      <c r="B114" t="s">
        <v>12</v>
      </c>
      <c r="C114" t="s">
        <v>221</v>
      </c>
      <c r="D114" t="s">
        <v>28</v>
      </c>
      <c r="E114">
        <v>14</v>
      </c>
      <c r="F114">
        <v>1063.4000000000001</v>
      </c>
      <c r="G114">
        <v>14887.6</v>
      </c>
      <c r="H114" t="s">
        <v>233</v>
      </c>
      <c r="I114" t="s">
        <v>238</v>
      </c>
      <c r="J114">
        <v>3</v>
      </c>
      <c r="K114" t="s">
        <v>243</v>
      </c>
    </row>
    <row r="115" spans="1:11" x14ac:dyDescent="0.35">
      <c r="A115" s="15">
        <v>45035</v>
      </c>
      <c r="B115" t="s">
        <v>41</v>
      </c>
      <c r="C115" t="s">
        <v>221</v>
      </c>
      <c r="D115" t="s">
        <v>220</v>
      </c>
      <c r="E115">
        <v>5</v>
      </c>
      <c r="F115">
        <v>48.37</v>
      </c>
      <c r="G115">
        <v>241.85</v>
      </c>
      <c r="H115" t="s">
        <v>233</v>
      </c>
      <c r="I115" t="s">
        <v>234</v>
      </c>
      <c r="J115">
        <v>4</v>
      </c>
      <c r="K115" t="s">
        <v>235</v>
      </c>
    </row>
    <row r="116" spans="1:11" x14ac:dyDescent="0.35">
      <c r="A116" s="15">
        <v>45461</v>
      </c>
      <c r="B116" t="s">
        <v>35</v>
      </c>
      <c r="C116" t="s">
        <v>219</v>
      </c>
      <c r="D116" t="s">
        <v>18</v>
      </c>
      <c r="E116">
        <v>16</v>
      </c>
      <c r="F116">
        <v>197.6</v>
      </c>
      <c r="G116">
        <v>3161.6</v>
      </c>
      <c r="H116" t="s">
        <v>230</v>
      </c>
      <c r="I116" t="s">
        <v>234</v>
      </c>
      <c r="J116">
        <v>6</v>
      </c>
      <c r="K116" t="s">
        <v>241</v>
      </c>
    </row>
    <row r="117" spans="1:11" x14ac:dyDescent="0.35">
      <c r="A117" s="15">
        <v>45533</v>
      </c>
      <c r="B117" t="s">
        <v>35</v>
      </c>
      <c r="C117" t="s">
        <v>221</v>
      </c>
      <c r="D117" t="s">
        <v>21</v>
      </c>
      <c r="E117">
        <v>3</v>
      </c>
      <c r="F117">
        <v>37.28</v>
      </c>
      <c r="G117">
        <v>111.84</v>
      </c>
      <c r="H117" t="s">
        <v>230</v>
      </c>
      <c r="I117" t="s">
        <v>236</v>
      </c>
      <c r="J117">
        <v>8</v>
      </c>
      <c r="K117" t="s">
        <v>246</v>
      </c>
    </row>
    <row r="118" spans="1:11" x14ac:dyDescent="0.35">
      <c r="A118" s="15">
        <v>45388</v>
      </c>
      <c r="B118" t="s">
        <v>16</v>
      </c>
      <c r="C118" t="s">
        <v>222</v>
      </c>
      <c r="D118" t="s">
        <v>213</v>
      </c>
      <c r="E118">
        <v>20</v>
      </c>
      <c r="F118">
        <v>123</v>
      </c>
      <c r="G118">
        <v>2460</v>
      </c>
      <c r="H118" t="s">
        <v>230</v>
      </c>
      <c r="I118" t="s">
        <v>234</v>
      </c>
      <c r="J118">
        <v>4</v>
      </c>
      <c r="K118" t="s">
        <v>235</v>
      </c>
    </row>
    <row r="119" spans="1:11" x14ac:dyDescent="0.35">
      <c r="A119" s="15">
        <v>45271</v>
      </c>
      <c r="B119" t="s">
        <v>8</v>
      </c>
      <c r="C119" t="s">
        <v>222</v>
      </c>
      <c r="D119" t="s">
        <v>23</v>
      </c>
      <c r="E119">
        <v>6</v>
      </c>
      <c r="F119">
        <v>88.78</v>
      </c>
      <c r="G119">
        <v>532.67999999999995</v>
      </c>
      <c r="H119" t="s">
        <v>233</v>
      </c>
      <c r="I119" t="s">
        <v>231</v>
      </c>
      <c r="J119">
        <v>12</v>
      </c>
      <c r="K119" t="s">
        <v>240</v>
      </c>
    </row>
    <row r="120" spans="1:11" x14ac:dyDescent="0.35">
      <c r="A120" s="15">
        <v>45290</v>
      </c>
      <c r="B120" t="s">
        <v>35</v>
      </c>
      <c r="C120" t="s">
        <v>221</v>
      </c>
      <c r="D120" t="s">
        <v>10</v>
      </c>
      <c r="E120">
        <v>20</v>
      </c>
      <c r="F120">
        <v>134.19</v>
      </c>
      <c r="G120">
        <v>2683.8</v>
      </c>
      <c r="H120" t="s">
        <v>233</v>
      </c>
      <c r="I120" t="s">
        <v>231</v>
      </c>
      <c r="J120">
        <v>12</v>
      </c>
      <c r="K120" t="s">
        <v>240</v>
      </c>
    </row>
    <row r="121" spans="1:11" x14ac:dyDescent="0.35">
      <c r="A121" s="15">
        <v>45209</v>
      </c>
      <c r="B121" t="s">
        <v>12</v>
      </c>
      <c r="C121" t="s">
        <v>9</v>
      </c>
      <c r="D121" t="s">
        <v>18</v>
      </c>
      <c r="E121">
        <v>7</v>
      </c>
      <c r="F121">
        <v>182.51</v>
      </c>
      <c r="G121">
        <v>1277.57</v>
      </c>
      <c r="H121" t="s">
        <v>233</v>
      </c>
      <c r="I121" t="s">
        <v>231</v>
      </c>
      <c r="J121">
        <v>10</v>
      </c>
      <c r="K121" t="s">
        <v>232</v>
      </c>
    </row>
    <row r="122" spans="1:11" x14ac:dyDescent="0.35">
      <c r="A122" s="15">
        <v>45343</v>
      </c>
      <c r="B122" t="s">
        <v>41</v>
      </c>
      <c r="C122" t="s">
        <v>217</v>
      </c>
      <c r="D122" t="s">
        <v>21</v>
      </c>
      <c r="E122">
        <v>16</v>
      </c>
      <c r="F122">
        <v>40.14</v>
      </c>
      <c r="G122">
        <v>642.24</v>
      </c>
      <c r="H122" t="s">
        <v>230</v>
      </c>
      <c r="I122" t="s">
        <v>238</v>
      </c>
      <c r="J122">
        <v>2</v>
      </c>
      <c r="K122" t="s">
        <v>244</v>
      </c>
    </row>
    <row r="123" spans="1:11" x14ac:dyDescent="0.35">
      <c r="A123" s="15">
        <v>45429</v>
      </c>
      <c r="B123" t="s">
        <v>41</v>
      </c>
      <c r="C123" t="s">
        <v>9</v>
      </c>
      <c r="D123" t="s">
        <v>32</v>
      </c>
      <c r="E123">
        <v>10</v>
      </c>
      <c r="F123">
        <v>329.57</v>
      </c>
      <c r="G123">
        <v>3295.7</v>
      </c>
      <c r="H123" t="s">
        <v>230</v>
      </c>
      <c r="I123" t="s">
        <v>234</v>
      </c>
      <c r="J123">
        <v>5</v>
      </c>
      <c r="K123" t="s">
        <v>247</v>
      </c>
    </row>
    <row r="124" spans="1:11" x14ac:dyDescent="0.35">
      <c r="A124" s="15">
        <v>45635</v>
      </c>
      <c r="B124" t="s">
        <v>16</v>
      </c>
      <c r="C124" t="s">
        <v>216</v>
      </c>
      <c r="D124" t="s">
        <v>213</v>
      </c>
      <c r="E124">
        <v>12</v>
      </c>
      <c r="F124">
        <v>118.36</v>
      </c>
      <c r="G124">
        <v>1420.32</v>
      </c>
      <c r="H124" t="s">
        <v>230</v>
      </c>
      <c r="I124" t="s">
        <v>231</v>
      </c>
      <c r="J124">
        <v>12</v>
      </c>
      <c r="K124" t="s">
        <v>240</v>
      </c>
    </row>
    <row r="125" spans="1:11" x14ac:dyDescent="0.35">
      <c r="A125" s="15">
        <v>45470</v>
      </c>
      <c r="B125" t="s">
        <v>35</v>
      </c>
      <c r="C125" t="s">
        <v>215</v>
      </c>
      <c r="D125" t="s">
        <v>18</v>
      </c>
      <c r="E125">
        <v>11</v>
      </c>
      <c r="F125">
        <v>193.1</v>
      </c>
      <c r="G125">
        <v>2124.1</v>
      </c>
      <c r="H125" t="s">
        <v>230</v>
      </c>
      <c r="I125" t="s">
        <v>234</v>
      </c>
      <c r="J125">
        <v>6</v>
      </c>
      <c r="K125" t="s">
        <v>241</v>
      </c>
    </row>
    <row r="126" spans="1:11" x14ac:dyDescent="0.35">
      <c r="A126" s="15">
        <v>45391</v>
      </c>
      <c r="B126" t="s">
        <v>35</v>
      </c>
      <c r="C126" t="s">
        <v>216</v>
      </c>
      <c r="D126" t="s">
        <v>10</v>
      </c>
      <c r="E126">
        <v>8</v>
      </c>
      <c r="F126">
        <v>119.21</v>
      </c>
      <c r="G126">
        <v>953.68</v>
      </c>
      <c r="H126" t="s">
        <v>230</v>
      </c>
      <c r="I126" t="s">
        <v>234</v>
      </c>
      <c r="J126">
        <v>4</v>
      </c>
      <c r="K126" t="s">
        <v>235</v>
      </c>
    </row>
    <row r="127" spans="1:11" x14ac:dyDescent="0.35">
      <c r="A127" s="15">
        <v>45124</v>
      </c>
      <c r="B127" t="s">
        <v>35</v>
      </c>
      <c r="C127" t="s">
        <v>212</v>
      </c>
      <c r="D127" t="s">
        <v>18</v>
      </c>
      <c r="E127">
        <v>6</v>
      </c>
      <c r="F127">
        <v>186.72</v>
      </c>
      <c r="G127">
        <v>1120.32</v>
      </c>
      <c r="H127" t="s">
        <v>233</v>
      </c>
      <c r="I127" t="s">
        <v>236</v>
      </c>
      <c r="J127">
        <v>7</v>
      </c>
      <c r="K127" t="s">
        <v>237</v>
      </c>
    </row>
    <row r="128" spans="1:11" x14ac:dyDescent="0.35">
      <c r="A128" s="15">
        <v>45422</v>
      </c>
      <c r="B128" t="s">
        <v>35</v>
      </c>
      <c r="C128" t="s">
        <v>219</v>
      </c>
      <c r="D128" t="s">
        <v>18</v>
      </c>
      <c r="E128">
        <v>20</v>
      </c>
      <c r="F128">
        <v>190.36</v>
      </c>
      <c r="G128">
        <v>3807.2</v>
      </c>
      <c r="H128" t="s">
        <v>230</v>
      </c>
      <c r="I128" t="s">
        <v>234</v>
      </c>
      <c r="J128">
        <v>5</v>
      </c>
      <c r="K128" t="s">
        <v>247</v>
      </c>
    </row>
    <row r="129" spans="1:11" x14ac:dyDescent="0.35">
      <c r="A129" s="15">
        <v>45029</v>
      </c>
      <c r="B129" t="s">
        <v>16</v>
      </c>
      <c r="C129" t="s">
        <v>216</v>
      </c>
      <c r="D129" t="s">
        <v>21</v>
      </c>
      <c r="E129">
        <v>12</v>
      </c>
      <c r="F129">
        <v>36.5</v>
      </c>
      <c r="G129">
        <v>438</v>
      </c>
      <c r="H129" t="s">
        <v>233</v>
      </c>
      <c r="I129" t="s">
        <v>234</v>
      </c>
      <c r="J129">
        <v>4</v>
      </c>
      <c r="K129" t="s">
        <v>235</v>
      </c>
    </row>
    <row r="130" spans="1:11" x14ac:dyDescent="0.35">
      <c r="A130" s="15">
        <v>44941</v>
      </c>
      <c r="B130" t="s">
        <v>12</v>
      </c>
      <c r="C130" t="s">
        <v>218</v>
      </c>
      <c r="D130" t="s">
        <v>10</v>
      </c>
      <c r="E130">
        <v>2</v>
      </c>
      <c r="F130">
        <v>141.24</v>
      </c>
      <c r="G130">
        <v>282.48</v>
      </c>
      <c r="H130" t="s">
        <v>233</v>
      </c>
      <c r="I130" t="s">
        <v>238</v>
      </c>
      <c r="J130">
        <v>1</v>
      </c>
      <c r="K130" t="s">
        <v>239</v>
      </c>
    </row>
    <row r="131" spans="1:11" x14ac:dyDescent="0.35">
      <c r="A131" s="15">
        <v>45493</v>
      </c>
      <c r="B131" t="s">
        <v>35</v>
      </c>
      <c r="C131" t="s">
        <v>218</v>
      </c>
      <c r="D131" t="s">
        <v>220</v>
      </c>
      <c r="E131">
        <v>4</v>
      </c>
      <c r="F131">
        <v>52.65</v>
      </c>
      <c r="G131">
        <v>210.6</v>
      </c>
      <c r="H131" t="s">
        <v>230</v>
      </c>
      <c r="I131" t="s">
        <v>236</v>
      </c>
      <c r="J131">
        <v>7</v>
      </c>
      <c r="K131" t="s">
        <v>237</v>
      </c>
    </row>
    <row r="132" spans="1:11" x14ac:dyDescent="0.35">
      <c r="A132" s="15">
        <v>45514</v>
      </c>
      <c r="B132" t="s">
        <v>35</v>
      </c>
      <c r="C132" t="s">
        <v>222</v>
      </c>
      <c r="D132" t="s">
        <v>220</v>
      </c>
      <c r="E132">
        <v>15</v>
      </c>
      <c r="F132">
        <v>47.44</v>
      </c>
      <c r="G132">
        <v>711.6</v>
      </c>
      <c r="H132" t="s">
        <v>230</v>
      </c>
      <c r="I132" t="s">
        <v>236</v>
      </c>
      <c r="J132">
        <v>8</v>
      </c>
      <c r="K132" t="s">
        <v>246</v>
      </c>
    </row>
    <row r="133" spans="1:11" x14ac:dyDescent="0.35">
      <c r="A133" s="15">
        <v>44979</v>
      </c>
      <c r="B133" t="s">
        <v>35</v>
      </c>
      <c r="C133" t="s">
        <v>222</v>
      </c>
      <c r="D133" t="s">
        <v>32</v>
      </c>
      <c r="E133">
        <v>3</v>
      </c>
      <c r="F133">
        <v>342.07</v>
      </c>
      <c r="G133">
        <v>1026.21</v>
      </c>
      <c r="H133" t="s">
        <v>233</v>
      </c>
      <c r="I133" t="s">
        <v>238</v>
      </c>
      <c r="J133">
        <v>2</v>
      </c>
      <c r="K133" t="s">
        <v>244</v>
      </c>
    </row>
    <row r="134" spans="1:11" x14ac:dyDescent="0.35">
      <c r="A134" s="15">
        <v>45002</v>
      </c>
      <c r="B134" t="s">
        <v>12</v>
      </c>
      <c r="C134" t="s">
        <v>9</v>
      </c>
      <c r="D134" t="s">
        <v>39</v>
      </c>
      <c r="E134">
        <v>5</v>
      </c>
      <c r="F134">
        <v>83.92</v>
      </c>
      <c r="G134">
        <v>419.6</v>
      </c>
      <c r="H134" t="s">
        <v>233</v>
      </c>
      <c r="I134" t="s">
        <v>238</v>
      </c>
      <c r="J134">
        <v>3</v>
      </c>
      <c r="K134" t="s">
        <v>243</v>
      </c>
    </row>
    <row r="135" spans="1:11" x14ac:dyDescent="0.35">
      <c r="A135" s="15">
        <v>45238</v>
      </c>
      <c r="B135" t="s">
        <v>8</v>
      </c>
      <c r="C135" t="s">
        <v>214</v>
      </c>
      <c r="D135" t="s">
        <v>32</v>
      </c>
      <c r="E135">
        <v>18</v>
      </c>
      <c r="F135">
        <v>367.46</v>
      </c>
      <c r="G135">
        <v>6614.28</v>
      </c>
      <c r="H135" t="s">
        <v>233</v>
      </c>
      <c r="I135" t="s">
        <v>231</v>
      </c>
      <c r="J135">
        <v>11</v>
      </c>
      <c r="K135" t="s">
        <v>242</v>
      </c>
    </row>
    <row r="136" spans="1:11" x14ac:dyDescent="0.35">
      <c r="A136" s="15">
        <v>45547</v>
      </c>
      <c r="B136" t="s">
        <v>12</v>
      </c>
      <c r="C136" t="s">
        <v>219</v>
      </c>
      <c r="D136" t="s">
        <v>21</v>
      </c>
      <c r="E136">
        <v>17</v>
      </c>
      <c r="F136">
        <v>38.07</v>
      </c>
      <c r="G136">
        <v>647.19000000000005</v>
      </c>
      <c r="H136" t="s">
        <v>230</v>
      </c>
      <c r="I136" t="s">
        <v>236</v>
      </c>
      <c r="J136">
        <v>9</v>
      </c>
      <c r="K136" t="s">
        <v>245</v>
      </c>
    </row>
    <row r="137" spans="1:11" x14ac:dyDescent="0.35">
      <c r="A137" s="15">
        <v>45380</v>
      </c>
      <c r="B137" t="s">
        <v>35</v>
      </c>
      <c r="C137" t="s">
        <v>219</v>
      </c>
      <c r="D137" t="s">
        <v>25</v>
      </c>
      <c r="E137">
        <v>10</v>
      </c>
      <c r="F137">
        <v>303.10000000000002</v>
      </c>
      <c r="G137">
        <v>3031</v>
      </c>
      <c r="H137" t="s">
        <v>230</v>
      </c>
      <c r="I137" t="s">
        <v>238</v>
      </c>
      <c r="J137">
        <v>3</v>
      </c>
      <c r="K137" t="s">
        <v>243</v>
      </c>
    </row>
    <row r="138" spans="1:11" x14ac:dyDescent="0.35">
      <c r="A138" s="15">
        <v>44988</v>
      </c>
      <c r="B138" t="s">
        <v>12</v>
      </c>
      <c r="C138" t="s">
        <v>212</v>
      </c>
      <c r="D138" t="s">
        <v>21</v>
      </c>
      <c r="E138">
        <v>7</v>
      </c>
      <c r="F138">
        <v>37.159999999999997</v>
      </c>
      <c r="G138">
        <v>260.12</v>
      </c>
      <c r="H138" t="s">
        <v>233</v>
      </c>
      <c r="I138" t="s">
        <v>238</v>
      </c>
      <c r="J138">
        <v>3</v>
      </c>
      <c r="K138" t="s">
        <v>243</v>
      </c>
    </row>
    <row r="139" spans="1:11" x14ac:dyDescent="0.35">
      <c r="A139" s="15">
        <v>45010</v>
      </c>
      <c r="B139" t="s">
        <v>16</v>
      </c>
      <c r="C139" t="s">
        <v>214</v>
      </c>
      <c r="D139" t="s">
        <v>39</v>
      </c>
      <c r="E139">
        <v>18</v>
      </c>
      <c r="F139">
        <v>72.290000000000006</v>
      </c>
      <c r="G139">
        <v>1301.22</v>
      </c>
      <c r="H139" t="s">
        <v>233</v>
      </c>
      <c r="I139" t="s">
        <v>238</v>
      </c>
      <c r="J139">
        <v>3</v>
      </c>
      <c r="K139" t="s">
        <v>243</v>
      </c>
    </row>
    <row r="140" spans="1:11" x14ac:dyDescent="0.35">
      <c r="A140" s="15">
        <v>44929</v>
      </c>
      <c r="B140" t="s">
        <v>41</v>
      </c>
      <c r="C140" t="s">
        <v>222</v>
      </c>
      <c r="D140" t="s">
        <v>213</v>
      </c>
      <c r="E140">
        <v>16</v>
      </c>
      <c r="F140">
        <v>114.03</v>
      </c>
      <c r="G140">
        <v>1824.48</v>
      </c>
      <c r="H140" t="s">
        <v>233</v>
      </c>
      <c r="I140" t="s">
        <v>238</v>
      </c>
      <c r="J140">
        <v>1</v>
      </c>
      <c r="K140" t="s">
        <v>239</v>
      </c>
    </row>
    <row r="141" spans="1:11" x14ac:dyDescent="0.35">
      <c r="A141" s="15">
        <v>45164</v>
      </c>
      <c r="B141" t="s">
        <v>35</v>
      </c>
      <c r="C141" t="s">
        <v>216</v>
      </c>
      <c r="D141" t="s">
        <v>220</v>
      </c>
      <c r="E141">
        <v>3</v>
      </c>
      <c r="F141">
        <v>50.84</v>
      </c>
      <c r="G141">
        <v>152.52000000000001</v>
      </c>
      <c r="H141" t="s">
        <v>233</v>
      </c>
      <c r="I141" t="s">
        <v>236</v>
      </c>
      <c r="J141">
        <v>8</v>
      </c>
      <c r="K141" t="s">
        <v>246</v>
      </c>
    </row>
    <row r="142" spans="1:11" x14ac:dyDescent="0.35">
      <c r="A142" s="15">
        <v>45197</v>
      </c>
      <c r="B142" t="s">
        <v>12</v>
      </c>
      <c r="C142" t="s">
        <v>214</v>
      </c>
      <c r="D142" t="s">
        <v>25</v>
      </c>
      <c r="E142">
        <v>4</v>
      </c>
      <c r="F142">
        <v>301.66000000000003</v>
      </c>
      <c r="G142">
        <v>1206.6400000000001</v>
      </c>
      <c r="H142" t="s">
        <v>233</v>
      </c>
      <c r="I142" t="s">
        <v>236</v>
      </c>
      <c r="J142">
        <v>9</v>
      </c>
      <c r="K142" t="s">
        <v>245</v>
      </c>
    </row>
    <row r="143" spans="1:11" x14ac:dyDescent="0.35">
      <c r="A143" s="15">
        <v>45590</v>
      </c>
      <c r="B143" t="s">
        <v>16</v>
      </c>
      <c r="C143" t="s">
        <v>216</v>
      </c>
      <c r="D143" t="s">
        <v>39</v>
      </c>
      <c r="E143">
        <v>3</v>
      </c>
      <c r="F143">
        <v>72.040000000000006</v>
      </c>
      <c r="G143">
        <v>216.12</v>
      </c>
      <c r="H143" t="s">
        <v>230</v>
      </c>
      <c r="I143" t="s">
        <v>231</v>
      </c>
      <c r="J143">
        <v>10</v>
      </c>
      <c r="K143" t="s">
        <v>232</v>
      </c>
    </row>
    <row r="144" spans="1:11" x14ac:dyDescent="0.35">
      <c r="A144" s="15">
        <v>45241</v>
      </c>
      <c r="B144" t="s">
        <v>12</v>
      </c>
      <c r="C144" t="s">
        <v>219</v>
      </c>
      <c r="D144" t="s">
        <v>10</v>
      </c>
      <c r="E144">
        <v>15</v>
      </c>
      <c r="F144">
        <v>119.31</v>
      </c>
      <c r="G144">
        <v>1789.65</v>
      </c>
      <c r="H144" t="s">
        <v>233</v>
      </c>
      <c r="I144" t="s">
        <v>231</v>
      </c>
      <c r="J144">
        <v>11</v>
      </c>
      <c r="K144" t="s">
        <v>242</v>
      </c>
    </row>
    <row r="145" spans="1:11" x14ac:dyDescent="0.35">
      <c r="A145" s="15">
        <v>45632</v>
      </c>
      <c r="B145" t="s">
        <v>35</v>
      </c>
      <c r="C145" t="s">
        <v>215</v>
      </c>
      <c r="D145" t="s">
        <v>10</v>
      </c>
      <c r="E145">
        <v>17</v>
      </c>
      <c r="F145">
        <v>130.03</v>
      </c>
      <c r="G145">
        <v>2210.5100000000002</v>
      </c>
      <c r="H145" t="s">
        <v>230</v>
      </c>
      <c r="I145" t="s">
        <v>231</v>
      </c>
      <c r="J145">
        <v>12</v>
      </c>
      <c r="K145" t="s">
        <v>240</v>
      </c>
    </row>
    <row r="146" spans="1:11" x14ac:dyDescent="0.35">
      <c r="A146" s="15">
        <v>45375</v>
      </c>
      <c r="B146" t="s">
        <v>8</v>
      </c>
      <c r="C146" t="s">
        <v>219</v>
      </c>
      <c r="D146" t="s">
        <v>28</v>
      </c>
      <c r="E146">
        <v>14</v>
      </c>
      <c r="F146">
        <v>1045.8599999999999</v>
      </c>
      <c r="G146">
        <v>14642.04</v>
      </c>
      <c r="H146" t="s">
        <v>230</v>
      </c>
      <c r="I146" t="s">
        <v>238</v>
      </c>
      <c r="J146">
        <v>3</v>
      </c>
      <c r="K146" t="s">
        <v>243</v>
      </c>
    </row>
    <row r="147" spans="1:11" x14ac:dyDescent="0.35">
      <c r="A147" s="15">
        <v>45545</v>
      </c>
      <c r="B147" t="s">
        <v>35</v>
      </c>
      <c r="C147" t="s">
        <v>9</v>
      </c>
      <c r="D147" t="s">
        <v>32</v>
      </c>
      <c r="E147">
        <v>8</v>
      </c>
      <c r="F147">
        <v>381.24</v>
      </c>
      <c r="G147">
        <v>3049.92</v>
      </c>
      <c r="H147" t="s">
        <v>230</v>
      </c>
      <c r="I147" t="s">
        <v>236</v>
      </c>
      <c r="J147">
        <v>9</v>
      </c>
      <c r="K147" t="s">
        <v>245</v>
      </c>
    </row>
    <row r="148" spans="1:11" x14ac:dyDescent="0.35">
      <c r="A148" s="15">
        <v>45516</v>
      </c>
      <c r="B148" t="s">
        <v>12</v>
      </c>
      <c r="C148" t="s">
        <v>9</v>
      </c>
      <c r="D148" t="s">
        <v>10</v>
      </c>
      <c r="E148">
        <v>19</v>
      </c>
      <c r="F148">
        <v>117.14</v>
      </c>
      <c r="G148">
        <v>2225.66</v>
      </c>
      <c r="H148" t="s">
        <v>230</v>
      </c>
      <c r="I148" t="s">
        <v>236</v>
      </c>
      <c r="J148">
        <v>8</v>
      </c>
      <c r="K148" t="s">
        <v>246</v>
      </c>
    </row>
    <row r="149" spans="1:11" x14ac:dyDescent="0.35">
      <c r="A149" s="15">
        <v>45106</v>
      </c>
      <c r="B149" t="s">
        <v>41</v>
      </c>
      <c r="C149" t="s">
        <v>217</v>
      </c>
      <c r="D149" t="s">
        <v>220</v>
      </c>
      <c r="E149">
        <v>9</v>
      </c>
      <c r="F149">
        <v>45.88</v>
      </c>
      <c r="G149">
        <v>412.92</v>
      </c>
      <c r="H149" t="s">
        <v>233</v>
      </c>
      <c r="I149" t="s">
        <v>234</v>
      </c>
      <c r="J149">
        <v>6</v>
      </c>
      <c r="K149" t="s">
        <v>241</v>
      </c>
    </row>
    <row r="150" spans="1:11" x14ac:dyDescent="0.35">
      <c r="A150" s="15">
        <v>45526</v>
      </c>
      <c r="B150" t="s">
        <v>41</v>
      </c>
      <c r="C150" t="s">
        <v>222</v>
      </c>
      <c r="D150" t="s">
        <v>32</v>
      </c>
      <c r="E150">
        <v>16</v>
      </c>
      <c r="F150">
        <v>338.39</v>
      </c>
      <c r="G150">
        <v>5414.24</v>
      </c>
      <c r="H150" t="s">
        <v>230</v>
      </c>
      <c r="I150" t="s">
        <v>236</v>
      </c>
      <c r="J150">
        <v>8</v>
      </c>
      <c r="K150" t="s">
        <v>246</v>
      </c>
    </row>
    <row r="151" spans="1:11" x14ac:dyDescent="0.35">
      <c r="A151" s="15">
        <v>45268</v>
      </c>
      <c r="B151" t="s">
        <v>35</v>
      </c>
      <c r="C151" t="s">
        <v>212</v>
      </c>
      <c r="D151" t="s">
        <v>39</v>
      </c>
      <c r="E151">
        <v>11</v>
      </c>
      <c r="F151">
        <v>77.599999999999994</v>
      </c>
      <c r="G151">
        <v>853.6</v>
      </c>
      <c r="H151" t="s">
        <v>233</v>
      </c>
      <c r="I151" t="s">
        <v>231</v>
      </c>
      <c r="J151">
        <v>12</v>
      </c>
      <c r="K151" t="s">
        <v>240</v>
      </c>
    </row>
    <row r="152" spans="1:11" x14ac:dyDescent="0.35">
      <c r="A152" s="15">
        <v>45434</v>
      </c>
      <c r="B152" t="s">
        <v>35</v>
      </c>
      <c r="C152" t="s">
        <v>215</v>
      </c>
      <c r="D152" t="s">
        <v>18</v>
      </c>
      <c r="E152">
        <v>2</v>
      </c>
      <c r="F152">
        <v>197.2</v>
      </c>
      <c r="G152">
        <v>394.4</v>
      </c>
      <c r="H152" t="s">
        <v>230</v>
      </c>
      <c r="I152" t="s">
        <v>234</v>
      </c>
      <c r="J152">
        <v>5</v>
      </c>
      <c r="K152" t="s">
        <v>247</v>
      </c>
    </row>
    <row r="153" spans="1:11" x14ac:dyDescent="0.35">
      <c r="A153" s="15">
        <v>45249</v>
      </c>
      <c r="B153" t="s">
        <v>35</v>
      </c>
      <c r="C153" t="s">
        <v>221</v>
      </c>
      <c r="D153" t="s">
        <v>32</v>
      </c>
      <c r="E153">
        <v>13</v>
      </c>
      <c r="F153">
        <v>374.47</v>
      </c>
      <c r="G153">
        <v>4868.1099999999997</v>
      </c>
      <c r="H153" t="s">
        <v>233</v>
      </c>
      <c r="I153" t="s">
        <v>231</v>
      </c>
      <c r="J153">
        <v>11</v>
      </c>
      <c r="K153" t="s">
        <v>242</v>
      </c>
    </row>
    <row r="154" spans="1:11" x14ac:dyDescent="0.35">
      <c r="A154" s="15">
        <v>44928</v>
      </c>
      <c r="B154" t="s">
        <v>12</v>
      </c>
      <c r="C154" t="s">
        <v>222</v>
      </c>
      <c r="D154" t="s">
        <v>25</v>
      </c>
      <c r="E154">
        <v>2</v>
      </c>
      <c r="F154">
        <v>280.32</v>
      </c>
      <c r="G154">
        <v>560.64</v>
      </c>
      <c r="H154" t="s">
        <v>233</v>
      </c>
      <c r="I154" t="s">
        <v>238</v>
      </c>
      <c r="J154">
        <v>1</v>
      </c>
      <c r="K154" t="s">
        <v>239</v>
      </c>
    </row>
    <row r="155" spans="1:11" x14ac:dyDescent="0.35">
      <c r="A155" s="15">
        <v>45297</v>
      </c>
      <c r="B155" t="s">
        <v>12</v>
      </c>
      <c r="C155" t="s">
        <v>222</v>
      </c>
      <c r="D155" t="s">
        <v>220</v>
      </c>
      <c r="E155">
        <v>2</v>
      </c>
      <c r="F155">
        <v>46.09</v>
      </c>
      <c r="G155">
        <v>92.18</v>
      </c>
      <c r="H155" t="s">
        <v>230</v>
      </c>
      <c r="I155" t="s">
        <v>238</v>
      </c>
      <c r="J155">
        <v>1</v>
      </c>
      <c r="K155" t="s">
        <v>239</v>
      </c>
    </row>
    <row r="156" spans="1:11" x14ac:dyDescent="0.35">
      <c r="A156" s="15">
        <v>45489</v>
      </c>
      <c r="B156" t="s">
        <v>16</v>
      </c>
      <c r="C156" t="s">
        <v>216</v>
      </c>
      <c r="D156" t="s">
        <v>220</v>
      </c>
      <c r="E156">
        <v>16</v>
      </c>
      <c r="F156">
        <v>45.29</v>
      </c>
      <c r="G156">
        <v>724.64</v>
      </c>
      <c r="H156" t="s">
        <v>230</v>
      </c>
      <c r="I156" t="s">
        <v>236</v>
      </c>
      <c r="J156">
        <v>7</v>
      </c>
      <c r="K156" t="s">
        <v>237</v>
      </c>
    </row>
    <row r="157" spans="1:11" x14ac:dyDescent="0.35">
      <c r="A157" s="15">
        <v>45572</v>
      </c>
      <c r="B157" t="s">
        <v>12</v>
      </c>
      <c r="C157" t="s">
        <v>214</v>
      </c>
      <c r="D157" t="s">
        <v>39</v>
      </c>
      <c r="E157">
        <v>10</v>
      </c>
      <c r="F157">
        <v>79.8</v>
      </c>
      <c r="G157">
        <v>798</v>
      </c>
      <c r="H157" t="s">
        <v>230</v>
      </c>
      <c r="I157" t="s">
        <v>231</v>
      </c>
      <c r="J157">
        <v>10</v>
      </c>
      <c r="K157" t="s">
        <v>232</v>
      </c>
    </row>
    <row r="158" spans="1:11" x14ac:dyDescent="0.35">
      <c r="A158" s="15">
        <v>45492</v>
      </c>
      <c r="B158" t="s">
        <v>41</v>
      </c>
      <c r="C158" t="s">
        <v>212</v>
      </c>
      <c r="D158" t="s">
        <v>21</v>
      </c>
      <c r="E158">
        <v>4</v>
      </c>
      <c r="F158">
        <v>38.700000000000003</v>
      </c>
      <c r="G158">
        <v>154.80000000000001</v>
      </c>
      <c r="H158" t="s">
        <v>230</v>
      </c>
      <c r="I158" t="s">
        <v>236</v>
      </c>
      <c r="J158">
        <v>7</v>
      </c>
      <c r="K158" t="s">
        <v>237</v>
      </c>
    </row>
    <row r="159" spans="1:11" x14ac:dyDescent="0.35">
      <c r="A159" s="15">
        <v>45047</v>
      </c>
      <c r="B159" t="s">
        <v>16</v>
      </c>
      <c r="C159" t="s">
        <v>222</v>
      </c>
      <c r="D159" t="s">
        <v>10</v>
      </c>
      <c r="E159">
        <v>17</v>
      </c>
      <c r="F159">
        <v>134.30000000000001</v>
      </c>
      <c r="G159">
        <v>2283.1</v>
      </c>
      <c r="H159" t="s">
        <v>233</v>
      </c>
      <c r="I159" t="s">
        <v>234</v>
      </c>
      <c r="J159">
        <v>5</v>
      </c>
      <c r="K159" t="s">
        <v>247</v>
      </c>
    </row>
    <row r="160" spans="1:11" x14ac:dyDescent="0.35">
      <c r="A160" s="15">
        <v>45352</v>
      </c>
      <c r="B160" t="s">
        <v>41</v>
      </c>
      <c r="C160" t="s">
        <v>222</v>
      </c>
      <c r="D160" t="s">
        <v>21</v>
      </c>
      <c r="E160">
        <v>15</v>
      </c>
      <c r="F160">
        <v>39.4</v>
      </c>
      <c r="G160">
        <v>591</v>
      </c>
      <c r="H160" t="s">
        <v>230</v>
      </c>
      <c r="I160" t="s">
        <v>238</v>
      </c>
      <c r="J160">
        <v>3</v>
      </c>
      <c r="K160" t="s">
        <v>243</v>
      </c>
    </row>
    <row r="161" spans="1:11" x14ac:dyDescent="0.35">
      <c r="A161" s="15">
        <v>45319</v>
      </c>
      <c r="B161" t="s">
        <v>16</v>
      </c>
      <c r="C161" t="s">
        <v>219</v>
      </c>
      <c r="D161" t="s">
        <v>18</v>
      </c>
      <c r="E161">
        <v>5</v>
      </c>
      <c r="F161">
        <v>213.49</v>
      </c>
      <c r="G161">
        <v>1067.45</v>
      </c>
      <c r="H161" t="s">
        <v>230</v>
      </c>
      <c r="I161" t="s">
        <v>238</v>
      </c>
      <c r="J161">
        <v>1</v>
      </c>
      <c r="K161" t="s">
        <v>239</v>
      </c>
    </row>
    <row r="162" spans="1:11" x14ac:dyDescent="0.35">
      <c r="A162" s="15">
        <v>45209</v>
      </c>
      <c r="B162" t="s">
        <v>41</v>
      </c>
      <c r="C162" t="s">
        <v>221</v>
      </c>
      <c r="D162" t="s">
        <v>18</v>
      </c>
      <c r="E162">
        <v>9</v>
      </c>
      <c r="F162">
        <v>211.76</v>
      </c>
      <c r="G162">
        <v>1905.84</v>
      </c>
      <c r="H162" t="s">
        <v>233</v>
      </c>
      <c r="I162" t="s">
        <v>231</v>
      </c>
      <c r="J162">
        <v>10</v>
      </c>
      <c r="K162" t="s">
        <v>232</v>
      </c>
    </row>
    <row r="163" spans="1:11" x14ac:dyDescent="0.35">
      <c r="A163" s="15">
        <v>45216</v>
      </c>
      <c r="B163" t="s">
        <v>35</v>
      </c>
      <c r="C163" t="s">
        <v>219</v>
      </c>
      <c r="D163" t="s">
        <v>213</v>
      </c>
      <c r="E163">
        <v>16</v>
      </c>
      <c r="F163">
        <v>127.69</v>
      </c>
      <c r="G163">
        <v>2043.04</v>
      </c>
      <c r="H163" t="s">
        <v>233</v>
      </c>
      <c r="I163" t="s">
        <v>231</v>
      </c>
      <c r="J163">
        <v>10</v>
      </c>
      <c r="K163" t="s">
        <v>232</v>
      </c>
    </row>
    <row r="164" spans="1:11" x14ac:dyDescent="0.35">
      <c r="A164" s="15">
        <v>45384</v>
      </c>
      <c r="B164" t="s">
        <v>12</v>
      </c>
      <c r="C164" t="s">
        <v>222</v>
      </c>
      <c r="D164" t="s">
        <v>23</v>
      </c>
      <c r="E164">
        <v>11</v>
      </c>
      <c r="F164">
        <v>89.92</v>
      </c>
      <c r="G164">
        <v>989.12</v>
      </c>
      <c r="H164" t="s">
        <v>230</v>
      </c>
      <c r="I164" t="s">
        <v>234</v>
      </c>
      <c r="J164">
        <v>4</v>
      </c>
      <c r="K164" t="s">
        <v>235</v>
      </c>
    </row>
    <row r="165" spans="1:11" x14ac:dyDescent="0.35">
      <c r="A165" s="15">
        <v>45483</v>
      </c>
      <c r="B165" t="s">
        <v>41</v>
      </c>
      <c r="C165" t="s">
        <v>222</v>
      </c>
      <c r="D165" t="s">
        <v>23</v>
      </c>
      <c r="E165">
        <v>7</v>
      </c>
      <c r="F165">
        <v>97.56</v>
      </c>
      <c r="G165">
        <v>682.92</v>
      </c>
      <c r="H165" t="s">
        <v>230</v>
      </c>
      <c r="I165" t="s">
        <v>236</v>
      </c>
      <c r="J165">
        <v>7</v>
      </c>
      <c r="K165" t="s">
        <v>237</v>
      </c>
    </row>
    <row r="166" spans="1:11" x14ac:dyDescent="0.35">
      <c r="A166" s="15">
        <v>45171</v>
      </c>
      <c r="B166" t="s">
        <v>12</v>
      </c>
      <c r="C166" t="s">
        <v>215</v>
      </c>
      <c r="D166" t="s">
        <v>21</v>
      </c>
      <c r="E166">
        <v>14</v>
      </c>
      <c r="F166">
        <v>35.44</v>
      </c>
      <c r="G166">
        <v>496.16</v>
      </c>
      <c r="H166" t="s">
        <v>233</v>
      </c>
      <c r="I166" t="s">
        <v>236</v>
      </c>
      <c r="J166">
        <v>9</v>
      </c>
      <c r="K166" t="s">
        <v>245</v>
      </c>
    </row>
    <row r="167" spans="1:11" x14ac:dyDescent="0.35">
      <c r="A167" s="15">
        <v>45411</v>
      </c>
      <c r="B167" t="s">
        <v>41</v>
      </c>
      <c r="C167" t="s">
        <v>215</v>
      </c>
      <c r="D167" t="s">
        <v>39</v>
      </c>
      <c r="E167">
        <v>16</v>
      </c>
      <c r="F167">
        <v>86.34</v>
      </c>
      <c r="G167">
        <v>1381.44</v>
      </c>
      <c r="H167" t="s">
        <v>230</v>
      </c>
      <c r="I167" t="s">
        <v>234</v>
      </c>
      <c r="J167">
        <v>4</v>
      </c>
      <c r="K167" t="s">
        <v>235</v>
      </c>
    </row>
    <row r="168" spans="1:11" x14ac:dyDescent="0.35">
      <c r="A168" s="15">
        <v>45056</v>
      </c>
      <c r="B168" t="s">
        <v>12</v>
      </c>
      <c r="C168" t="s">
        <v>219</v>
      </c>
      <c r="D168" t="s">
        <v>23</v>
      </c>
      <c r="E168">
        <v>4</v>
      </c>
      <c r="F168">
        <v>95.66</v>
      </c>
      <c r="G168">
        <v>382.64</v>
      </c>
      <c r="H168" t="s">
        <v>233</v>
      </c>
      <c r="I168" t="s">
        <v>234</v>
      </c>
      <c r="J168">
        <v>5</v>
      </c>
      <c r="K168" t="s">
        <v>247</v>
      </c>
    </row>
    <row r="169" spans="1:11" x14ac:dyDescent="0.35">
      <c r="A169" s="15">
        <v>45377</v>
      </c>
      <c r="B169" t="s">
        <v>8</v>
      </c>
      <c r="C169" t="s">
        <v>217</v>
      </c>
      <c r="D169" t="s">
        <v>220</v>
      </c>
      <c r="E169">
        <v>1</v>
      </c>
      <c r="F169">
        <v>51.18</v>
      </c>
      <c r="G169">
        <v>51.18</v>
      </c>
      <c r="H169" t="s">
        <v>230</v>
      </c>
      <c r="I169" t="s">
        <v>238</v>
      </c>
      <c r="J169">
        <v>3</v>
      </c>
      <c r="K169" t="s">
        <v>243</v>
      </c>
    </row>
    <row r="170" spans="1:11" x14ac:dyDescent="0.35">
      <c r="A170" s="15">
        <v>45346</v>
      </c>
      <c r="B170" t="s">
        <v>16</v>
      </c>
      <c r="C170" t="s">
        <v>212</v>
      </c>
      <c r="D170" t="s">
        <v>220</v>
      </c>
      <c r="E170">
        <v>9</v>
      </c>
      <c r="F170">
        <v>47.42</v>
      </c>
      <c r="G170">
        <v>426.78</v>
      </c>
      <c r="H170" t="s">
        <v>230</v>
      </c>
      <c r="I170" t="s">
        <v>238</v>
      </c>
      <c r="J170">
        <v>2</v>
      </c>
      <c r="K170" t="s">
        <v>244</v>
      </c>
    </row>
    <row r="171" spans="1:11" x14ac:dyDescent="0.35">
      <c r="A171" s="15">
        <v>45636</v>
      </c>
      <c r="B171" t="s">
        <v>41</v>
      </c>
      <c r="C171" t="s">
        <v>212</v>
      </c>
      <c r="D171" t="s">
        <v>23</v>
      </c>
      <c r="E171">
        <v>18</v>
      </c>
      <c r="F171">
        <v>86.86</v>
      </c>
      <c r="G171">
        <v>1563.48</v>
      </c>
      <c r="H171" t="s">
        <v>230</v>
      </c>
      <c r="I171" t="s">
        <v>231</v>
      </c>
      <c r="J171">
        <v>12</v>
      </c>
      <c r="K171" t="s">
        <v>240</v>
      </c>
    </row>
    <row r="172" spans="1:11" x14ac:dyDescent="0.35">
      <c r="A172" s="15">
        <v>45251</v>
      </c>
      <c r="B172" t="s">
        <v>41</v>
      </c>
      <c r="C172" t="s">
        <v>217</v>
      </c>
      <c r="D172" t="s">
        <v>28</v>
      </c>
      <c r="E172">
        <v>20</v>
      </c>
      <c r="F172">
        <v>912.77</v>
      </c>
      <c r="G172">
        <v>18255.400000000001</v>
      </c>
      <c r="H172" t="s">
        <v>233</v>
      </c>
      <c r="I172" t="s">
        <v>231</v>
      </c>
      <c r="J172">
        <v>11</v>
      </c>
      <c r="K172" t="s">
        <v>242</v>
      </c>
    </row>
    <row r="173" spans="1:11" x14ac:dyDescent="0.35">
      <c r="A173" s="15">
        <v>45573</v>
      </c>
      <c r="B173" t="s">
        <v>35</v>
      </c>
      <c r="C173" t="s">
        <v>214</v>
      </c>
      <c r="D173" t="s">
        <v>32</v>
      </c>
      <c r="E173">
        <v>14</v>
      </c>
      <c r="F173">
        <v>382.39</v>
      </c>
      <c r="G173">
        <v>5353.46</v>
      </c>
      <c r="H173" t="s">
        <v>230</v>
      </c>
      <c r="I173" t="s">
        <v>231</v>
      </c>
      <c r="J173">
        <v>10</v>
      </c>
      <c r="K173" t="s">
        <v>232</v>
      </c>
    </row>
    <row r="174" spans="1:11" x14ac:dyDescent="0.35">
      <c r="A174" s="15">
        <v>45575</v>
      </c>
      <c r="B174" t="s">
        <v>8</v>
      </c>
      <c r="C174" t="s">
        <v>222</v>
      </c>
      <c r="D174" t="s">
        <v>39</v>
      </c>
      <c r="E174">
        <v>10</v>
      </c>
      <c r="F174">
        <v>85.37</v>
      </c>
      <c r="G174">
        <v>853.7</v>
      </c>
      <c r="H174" t="s">
        <v>230</v>
      </c>
      <c r="I174" t="s">
        <v>231</v>
      </c>
      <c r="J174">
        <v>10</v>
      </c>
      <c r="K174" t="s">
        <v>232</v>
      </c>
    </row>
    <row r="175" spans="1:11" x14ac:dyDescent="0.35">
      <c r="A175" s="15">
        <v>44974</v>
      </c>
      <c r="B175" t="s">
        <v>35</v>
      </c>
      <c r="C175" t="s">
        <v>9</v>
      </c>
      <c r="D175" t="s">
        <v>10</v>
      </c>
      <c r="E175">
        <v>12</v>
      </c>
      <c r="F175">
        <v>125.77</v>
      </c>
      <c r="G175">
        <v>1509.24</v>
      </c>
      <c r="H175" t="s">
        <v>233</v>
      </c>
      <c r="I175" t="s">
        <v>238</v>
      </c>
      <c r="J175">
        <v>2</v>
      </c>
      <c r="K175" t="s">
        <v>244</v>
      </c>
    </row>
    <row r="176" spans="1:11" x14ac:dyDescent="0.35">
      <c r="A176" s="15">
        <v>45076</v>
      </c>
      <c r="B176" t="s">
        <v>16</v>
      </c>
      <c r="C176" t="s">
        <v>217</v>
      </c>
      <c r="D176" t="s">
        <v>25</v>
      </c>
      <c r="E176">
        <v>19</v>
      </c>
      <c r="F176">
        <v>309.87</v>
      </c>
      <c r="G176">
        <v>5887.53</v>
      </c>
      <c r="H176" t="s">
        <v>233</v>
      </c>
      <c r="I176" t="s">
        <v>234</v>
      </c>
      <c r="J176">
        <v>5</v>
      </c>
      <c r="K176" t="s">
        <v>247</v>
      </c>
    </row>
    <row r="177" spans="1:11" x14ac:dyDescent="0.35">
      <c r="A177" s="15">
        <v>45111</v>
      </c>
      <c r="B177" t="s">
        <v>16</v>
      </c>
      <c r="C177" t="s">
        <v>218</v>
      </c>
      <c r="D177" t="s">
        <v>32</v>
      </c>
      <c r="E177">
        <v>20</v>
      </c>
      <c r="F177">
        <v>374.88</v>
      </c>
      <c r="G177">
        <v>7497.6</v>
      </c>
      <c r="H177" t="s">
        <v>233</v>
      </c>
      <c r="I177" t="s">
        <v>236</v>
      </c>
      <c r="J177">
        <v>7</v>
      </c>
      <c r="K177" t="s">
        <v>237</v>
      </c>
    </row>
    <row r="178" spans="1:11" x14ac:dyDescent="0.35">
      <c r="A178" s="15">
        <v>45561</v>
      </c>
      <c r="B178" t="s">
        <v>16</v>
      </c>
      <c r="C178" t="s">
        <v>222</v>
      </c>
      <c r="D178" t="s">
        <v>213</v>
      </c>
      <c r="E178">
        <v>5</v>
      </c>
      <c r="F178">
        <v>112.63</v>
      </c>
      <c r="G178">
        <v>563.15</v>
      </c>
      <c r="H178" t="s">
        <v>230</v>
      </c>
      <c r="I178" t="s">
        <v>236</v>
      </c>
      <c r="J178">
        <v>9</v>
      </c>
      <c r="K178" t="s">
        <v>245</v>
      </c>
    </row>
    <row r="179" spans="1:11" x14ac:dyDescent="0.35">
      <c r="A179" s="15">
        <v>45580</v>
      </c>
      <c r="B179" t="s">
        <v>35</v>
      </c>
      <c r="C179" t="s">
        <v>222</v>
      </c>
      <c r="D179" t="s">
        <v>10</v>
      </c>
      <c r="E179">
        <v>1</v>
      </c>
      <c r="F179">
        <v>139.29</v>
      </c>
      <c r="G179">
        <v>139.29</v>
      </c>
      <c r="H179" t="s">
        <v>230</v>
      </c>
      <c r="I179" t="s">
        <v>231</v>
      </c>
      <c r="J179">
        <v>10</v>
      </c>
      <c r="K179" t="s">
        <v>232</v>
      </c>
    </row>
    <row r="180" spans="1:11" x14ac:dyDescent="0.35">
      <c r="A180" s="15">
        <v>45403</v>
      </c>
      <c r="B180" t="s">
        <v>35</v>
      </c>
      <c r="C180" t="s">
        <v>217</v>
      </c>
      <c r="D180" t="s">
        <v>39</v>
      </c>
      <c r="E180">
        <v>3</v>
      </c>
      <c r="F180">
        <v>78.08</v>
      </c>
      <c r="G180">
        <v>234.24</v>
      </c>
      <c r="H180" t="s">
        <v>230</v>
      </c>
      <c r="I180" t="s">
        <v>234</v>
      </c>
      <c r="J180">
        <v>4</v>
      </c>
      <c r="K180" t="s">
        <v>235</v>
      </c>
    </row>
    <row r="181" spans="1:11" x14ac:dyDescent="0.35">
      <c r="A181" s="15">
        <v>45280</v>
      </c>
      <c r="B181" t="s">
        <v>12</v>
      </c>
      <c r="C181" t="s">
        <v>216</v>
      </c>
      <c r="D181" t="s">
        <v>25</v>
      </c>
      <c r="E181">
        <v>9</v>
      </c>
      <c r="F181">
        <v>296.42</v>
      </c>
      <c r="G181">
        <v>2667.78</v>
      </c>
      <c r="H181" t="s">
        <v>233</v>
      </c>
      <c r="I181" t="s">
        <v>231</v>
      </c>
      <c r="J181">
        <v>12</v>
      </c>
      <c r="K181" t="s">
        <v>240</v>
      </c>
    </row>
    <row r="182" spans="1:11" x14ac:dyDescent="0.35">
      <c r="A182" s="15">
        <v>45236</v>
      </c>
      <c r="B182" t="s">
        <v>16</v>
      </c>
      <c r="C182" t="s">
        <v>215</v>
      </c>
      <c r="D182" t="s">
        <v>220</v>
      </c>
      <c r="E182">
        <v>4</v>
      </c>
      <c r="F182">
        <v>46.42</v>
      </c>
      <c r="G182">
        <v>185.68</v>
      </c>
      <c r="H182" t="s">
        <v>233</v>
      </c>
      <c r="I182" t="s">
        <v>231</v>
      </c>
      <c r="J182">
        <v>11</v>
      </c>
      <c r="K182" t="s">
        <v>242</v>
      </c>
    </row>
    <row r="183" spans="1:11" x14ac:dyDescent="0.35">
      <c r="A183" s="15">
        <v>45512</v>
      </c>
      <c r="B183" t="s">
        <v>35</v>
      </c>
      <c r="C183" t="s">
        <v>219</v>
      </c>
      <c r="D183" t="s">
        <v>10</v>
      </c>
      <c r="E183">
        <v>10</v>
      </c>
      <c r="F183">
        <v>116.67</v>
      </c>
      <c r="G183">
        <v>1166.7</v>
      </c>
      <c r="H183" t="s">
        <v>230</v>
      </c>
      <c r="I183" t="s">
        <v>236</v>
      </c>
      <c r="J183">
        <v>8</v>
      </c>
      <c r="K183" t="s">
        <v>246</v>
      </c>
    </row>
    <row r="184" spans="1:11" x14ac:dyDescent="0.35">
      <c r="A184" s="15">
        <v>45601</v>
      </c>
      <c r="B184" t="s">
        <v>41</v>
      </c>
      <c r="C184" t="s">
        <v>216</v>
      </c>
      <c r="D184" t="s">
        <v>28</v>
      </c>
      <c r="E184">
        <v>19</v>
      </c>
      <c r="F184">
        <v>1071.94</v>
      </c>
      <c r="G184">
        <v>20366.86</v>
      </c>
      <c r="H184" t="s">
        <v>230</v>
      </c>
      <c r="I184" t="s">
        <v>231</v>
      </c>
      <c r="J184">
        <v>11</v>
      </c>
      <c r="K184" t="s">
        <v>242</v>
      </c>
    </row>
    <row r="185" spans="1:11" x14ac:dyDescent="0.35">
      <c r="A185" s="15">
        <v>44977</v>
      </c>
      <c r="B185" t="s">
        <v>12</v>
      </c>
      <c r="C185" t="s">
        <v>222</v>
      </c>
      <c r="D185" t="s">
        <v>10</v>
      </c>
      <c r="E185">
        <v>8</v>
      </c>
      <c r="F185">
        <v>131.76</v>
      </c>
      <c r="G185">
        <v>1054.08</v>
      </c>
      <c r="H185" t="s">
        <v>233</v>
      </c>
      <c r="I185" t="s">
        <v>238</v>
      </c>
      <c r="J185">
        <v>2</v>
      </c>
      <c r="K185" t="s">
        <v>244</v>
      </c>
    </row>
    <row r="186" spans="1:11" x14ac:dyDescent="0.35">
      <c r="A186" s="15">
        <v>45287</v>
      </c>
      <c r="B186" t="s">
        <v>16</v>
      </c>
      <c r="C186" t="s">
        <v>214</v>
      </c>
      <c r="D186" t="s">
        <v>213</v>
      </c>
      <c r="E186">
        <v>9</v>
      </c>
      <c r="F186">
        <v>123.23</v>
      </c>
      <c r="G186">
        <v>1109.07</v>
      </c>
      <c r="H186" t="s">
        <v>233</v>
      </c>
      <c r="I186" t="s">
        <v>231</v>
      </c>
      <c r="J186">
        <v>12</v>
      </c>
      <c r="K186" t="s">
        <v>240</v>
      </c>
    </row>
    <row r="187" spans="1:11" x14ac:dyDescent="0.35">
      <c r="A187" s="15">
        <v>45602</v>
      </c>
      <c r="B187" t="s">
        <v>16</v>
      </c>
      <c r="C187" t="s">
        <v>212</v>
      </c>
      <c r="D187" t="s">
        <v>28</v>
      </c>
      <c r="E187">
        <v>10</v>
      </c>
      <c r="F187">
        <v>1056.6600000000001</v>
      </c>
      <c r="G187">
        <v>10566.6</v>
      </c>
      <c r="H187" t="s">
        <v>230</v>
      </c>
      <c r="I187" t="s">
        <v>231</v>
      </c>
      <c r="J187">
        <v>11</v>
      </c>
      <c r="K187" t="s">
        <v>242</v>
      </c>
    </row>
    <row r="188" spans="1:11" x14ac:dyDescent="0.35">
      <c r="A188" s="15">
        <v>44961</v>
      </c>
      <c r="B188" t="s">
        <v>12</v>
      </c>
      <c r="C188" t="s">
        <v>221</v>
      </c>
      <c r="D188" t="s">
        <v>39</v>
      </c>
      <c r="E188">
        <v>3</v>
      </c>
      <c r="F188">
        <v>85.47</v>
      </c>
      <c r="G188">
        <v>256.41000000000003</v>
      </c>
      <c r="H188" t="s">
        <v>233</v>
      </c>
      <c r="I188" t="s">
        <v>238</v>
      </c>
      <c r="J188">
        <v>2</v>
      </c>
      <c r="K188" t="s">
        <v>244</v>
      </c>
    </row>
    <row r="189" spans="1:11" x14ac:dyDescent="0.35">
      <c r="A189" s="15">
        <v>45261</v>
      </c>
      <c r="B189" t="s">
        <v>41</v>
      </c>
      <c r="C189" t="s">
        <v>218</v>
      </c>
      <c r="D189" t="s">
        <v>21</v>
      </c>
      <c r="E189">
        <v>5</v>
      </c>
      <c r="F189">
        <v>41.23</v>
      </c>
      <c r="G189">
        <v>206.15</v>
      </c>
      <c r="H189" t="s">
        <v>233</v>
      </c>
      <c r="I189" t="s">
        <v>231</v>
      </c>
      <c r="J189">
        <v>12</v>
      </c>
      <c r="K189" t="s">
        <v>240</v>
      </c>
    </row>
    <row r="190" spans="1:11" x14ac:dyDescent="0.35">
      <c r="A190" s="15">
        <v>45301</v>
      </c>
      <c r="B190" t="s">
        <v>12</v>
      </c>
      <c r="C190" t="s">
        <v>217</v>
      </c>
      <c r="D190" t="s">
        <v>10</v>
      </c>
      <c r="E190">
        <v>6</v>
      </c>
      <c r="F190">
        <v>122.73</v>
      </c>
      <c r="G190">
        <v>736.38</v>
      </c>
      <c r="H190" t="s">
        <v>230</v>
      </c>
      <c r="I190" t="s">
        <v>238</v>
      </c>
      <c r="J190">
        <v>1</v>
      </c>
      <c r="K190" t="s">
        <v>239</v>
      </c>
    </row>
    <row r="191" spans="1:11" x14ac:dyDescent="0.35">
      <c r="A191" s="15">
        <v>45420</v>
      </c>
      <c r="B191" t="s">
        <v>35</v>
      </c>
      <c r="C191" t="s">
        <v>221</v>
      </c>
      <c r="D191" t="s">
        <v>32</v>
      </c>
      <c r="E191">
        <v>15</v>
      </c>
      <c r="F191">
        <v>381.31</v>
      </c>
      <c r="G191">
        <v>5719.65</v>
      </c>
      <c r="H191" t="s">
        <v>230</v>
      </c>
      <c r="I191" t="s">
        <v>234</v>
      </c>
      <c r="J191">
        <v>5</v>
      </c>
      <c r="K191" t="s">
        <v>247</v>
      </c>
    </row>
    <row r="192" spans="1:11" x14ac:dyDescent="0.35">
      <c r="A192" s="15">
        <v>45071</v>
      </c>
      <c r="B192" t="s">
        <v>16</v>
      </c>
      <c r="C192" t="s">
        <v>215</v>
      </c>
      <c r="D192" t="s">
        <v>18</v>
      </c>
      <c r="E192">
        <v>12</v>
      </c>
      <c r="F192">
        <v>182.69</v>
      </c>
      <c r="G192">
        <v>2192.2800000000002</v>
      </c>
      <c r="H192" t="s">
        <v>233</v>
      </c>
      <c r="I192" t="s">
        <v>234</v>
      </c>
      <c r="J192">
        <v>5</v>
      </c>
      <c r="K192" t="s">
        <v>247</v>
      </c>
    </row>
    <row r="193" spans="1:11" x14ac:dyDescent="0.35">
      <c r="A193" s="15">
        <v>45331</v>
      </c>
      <c r="B193" t="s">
        <v>8</v>
      </c>
      <c r="C193" t="s">
        <v>216</v>
      </c>
      <c r="D193" t="s">
        <v>18</v>
      </c>
      <c r="E193">
        <v>4</v>
      </c>
      <c r="F193">
        <v>197.2</v>
      </c>
      <c r="G193">
        <v>788.8</v>
      </c>
      <c r="H193" t="s">
        <v>230</v>
      </c>
      <c r="I193" t="s">
        <v>238</v>
      </c>
      <c r="J193">
        <v>2</v>
      </c>
      <c r="K193" t="s">
        <v>244</v>
      </c>
    </row>
    <row r="194" spans="1:11" x14ac:dyDescent="0.35">
      <c r="A194" s="15">
        <v>45615</v>
      </c>
      <c r="B194" t="s">
        <v>35</v>
      </c>
      <c r="C194" t="s">
        <v>219</v>
      </c>
      <c r="D194" t="s">
        <v>25</v>
      </c>
      <c r="E194">
        <v>12</v>
      </c>
      <c r="F194">
        <v>275.58</v>
      </c>
      <c r="G194">
        <v>3306.96</v>
      </c>
      <c r="H194" t="s">
        <v>230</v>
      </c>
      <c r="I194" t="s">
        <v>231</v>
      </c>
      <c r="J194">
        <v>11</v>
      </c>
      <c r="K194" t="s">
        <v>242</v>
      </c>
    </row>
    <row r="195" spans="1:11" x14ac:dyDescent="0.35">
      <c r="A195" s="15">
        <v>45166</v>
      </c>
      <c r="B195" t="s">
        <v>41</v>
      </c>
      <c r="C195" t="s">
        <v>9</v>
      </c>
      <c r="D195" t="s">
        <v>213</v>
      </c>
      <c r="E195">
        <v>18</v>
      </c>
      <c r="F195">
        <v>114.91</v>
      </c>
      <c r="G195">
        <v>2068.38</v>
      </c>
      <c r="H195" t="s">
        <v>233</v>
      </c>
      <c r="I195" t="s">
        <v>236</v>
      </c>
      <c r="J195">
        <v>8</v>
      </c>
      <c r="K195" t="s">
        <v>246</v>
      </c>
    </row>
    <row r="196" spans="1:11" x14ac:dyDescent="0.35">
      <c r="A196" s="15">
        <v>45551</v>
      </c>
      <c r="B196" t="s">
        <v>16</v>
      </c>
      <c r="C196" t="s">
        <v>212</v>
      </c>
      <c r="D196" t="s">
        <v>220</v>
      </c>
      <c r="E196">
        <v>10</v>
      </c>
      <c r="F196">
        <v>50.46</v>
      </c>
      <c r="G196">
        <v>504.6</v>
      </c>
      <c r="H196" t="s">
        <v>230</v>
      </c>
      <c r="I196" t="s">
        <v>236</v>
      </c>
      <c r="J196">
        <v>9</v>
      </c>
      <c r="K196" t="s">
        <v>245</v>
      </c>
    </row>
    <row r="197" spans="1:11" x14ac:dyDescent="0.35">
      <c r="A197" s="15">
        <v>45046</v>
      </c>
      <c r="B197" t="s">
        <v>16</v>
      </c>
      <c r="C197" t="s">
        <v>9</v>
      </c>
      <c r="D197" t="s">
        <v>28</v>
      </c>
      <c r="E197">
        <v>10</v>
      </c>
      <c r="F197">
        <v>1098.0899999999999</v>
      </c>
      <c r="G197">
        <v>10980.9</v>
      </c>
      <c r="H197" t="s">
        <v>233</v>
      </c>
      <c r="I197" t="s">
        <v>234</v>
      </c>
      <c r="J197">
        <v>4</v>
      </c>
      <c r="K197" t="s">
        <v>235</v>
      </c>
    </row>
    <row r="198" spans="1:11" x14ac:dyDescent="0.35">
      <c r="A198" s="15">
        <v>45045</v>
      </c>
      <c r="B198" t="s">
        <v>8</v>
      </c>
      <c r="C198" t="s">
        <v>214</v>
      </c>
      <c r="D198" t="s">
        <v>18</v>
      </c>
      <c r="E198">
        <v>5</v>
      </c>
      <c r="F198">
        <v>194.57</v>
      </c>
      <c r="G198">
        <v>972.85</v>
      </c>
      <c r="H198" t="s">
        <v>233</v>
      </c>
      <c r="I198" t="s">
        <v>234</v>
      </c>
      <c r="J198">
        <v>4</v>
      </c>
      <c r="K198" t="s">
        <v>235</v>
      </c>
    </row>
    <row r="199" spans="1:11" x14ac:dyDescent="0.35">
      <c r="A199" s="15">
        <v>45306</v>
      </c>
      <c r="B199" t="s">
        <v>12</v>
      </c>
      <c r="C199" t="s">
        <v>215</v>
      </c>
      <c r="D199" t="s">
        <v>213</v>
      </c>
      <c r="E199">
        <v>5</v>
      </c>
      <c r="F199">
        <v>128.16999999999999</v>
      </c>
      <c r="G199">
        <v>640.85</v>
      </c>
      <c r="H199" t="s">
        <v>230</v>
      </c>
      <c r="I199" t="s">
        <v>238</v>
      </c>
      <c r="J199">
        <v>1</v>
      </c>
      <c r="K199" t="s">
        <v>239</v>
      </c>
    </row>
    <row r="200" spans="1:11" x14ac:dyDescent="0.35">
      <c r="A200" s="15">
        <v>45597</v>
      </c>
      <c r="B200" t="s">
        <v>8</v>
      </c>
      <c r="C200" t="s">
        <v>222</v>
      </c>
      <c r="D200" t="s">
        <v>213</v>
      </c>
      <c r="E200">
        <v>14</v>
      </c>
      <c r="F200">
        <v>129.44999999999999</v>
      </c>
      <c r="G200">
        <v>1812.3</v>
      </c>
      <c r="H200" t="s">
        <v>230</v>
      </c>
      <c r="I200" t="s">
        <v>231</v>
      </c>
      <c r="J200">
        <v>11</v>
      </c>
      <c r="K200" t="s">
        <v>242</v>
      </c>
    </row>
    <row r="201" spans="1:11" x14ac:dyDescent="0.35">
      <c r="A201" s="15">
        <v>45213</v>
      </c>
      <c r="B201" t="s">
        <v>8</v>
      </c>
      <c r="C201" t="s">
        <v>221</v>
      </c>
      <c r="D201" t="s">
        <v>21</v>
      </c>
      <c r="E201">
        <v>15</v>
      </c>
      <c r="F201">
        <v>38.57</v>
      </c>
      <c r="G201">
        <v>578.54999999999995</v>
      </c>
      <c r="H201" t="s">
        <v>233</v>
      </c>
      <c r="I201" t="s">
        <v>231</v>
      </c>
      <c r="J201">
        <v>10</v>
      </c>
      <c r="K201" t="s">
        <v>232</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BF400-FBFD-48A7-95F3-28C95A6DA602}">
  <dimension ref="B3:C9"/>
  <sheetViews>
    <sheetView workbookViewId="0">
      <selection activeCell="F9" sqref="F9"/>
    </sheetView>
  </sheetViews>
  <sheetFormatPr defaultRowHeight="14.5" x14ac:dyDescent="0.35"/>
  <cols>
    <col min="2" max="2" width="12.36328125" bestFit="1" customWidth="1"/>
    <col min="3" max="3" width="9.81640625" bestFit="1" customWidth="1"/>
    <col min="4" max="9" width="8.81640625" bestFit="1" customWidth="1"/>
    <col min="10" max="10" width="7.81640625" bestFit="1" customWidth="1"/>
    <col min="11" max="14" width="8.81640625" bestFit="1" customWidth="1"/>
    <col min="15" max="15" width="10.7265625" bestFit="1" customWidth="1"/>
    <col min="16" max="26" width="8.81640625" bestFit="1" customWidth="1"/>
    <col min="27" max="27" width="10.7265625" bestFit="1" customWidth="1"/>
    <col min="28" max="182" width="10.453125" bestFit="1" customWidth="1"/>
    <col min="183" max="183" width="10.7265625" bestFit="1" customWidth="1"/>
  </cols>
  <sheetData>
    <row r="3" spans="2:3" x14ac:dyDescent="0.35">
      <c r="B3" s="16" t="s">
        <v>223</v>
      </c>
      <c r="C3" t="s">
        <v>225</v>
      </c>
    </row>
    <row r="4" spans="2:3" x14ac:dyDescent="0.35">
      <c r="B4" s="17" t="s">
        <v>12</v>
      </c>
      <c r="C4" s="19">
        <v>131662.04</v>
      </c>
    </row>
    <row r="5" spans="2:3" x14ac:dyDescent="0.35">
      <c r="B5" s="17" t="s">
        <v>35</v>
      </c>
      <c r="C5" s="19">
        <v>76604.52</v>
      </c>
    </row>
    <row r="6" spans="2:3" x14ac:dyDescent="0.35">
      <c r="B6" s="17" t="s">
        <v>8</v>
      </c>
      <c r="C6" s="19">
        <v>82036.44</v>
      </c>
    </row>
    <row r="7" spans="2:3" x14ac:dyDescent="0.35">
      <c r="B7" s="17" t="s">
        <v>16</v>
      </c>
      <c r="C7" s="19">
        <v>100712.06</v>
      </c>
    </row>
    <row r="8" spans="2:3" x14ac:dyDescent="0.35">
      <c r="B8" s="17" t="s">
        <v>41</v>
      </c>
      <c r="C8" s="19">
        <v>80661.960000000006</v>
      </c>
    </row>
    <row r="9" spans="2:3" x14ac:dyDescent="0.35">
      <c r="B9" s="17" t="s">
        <v>224</v>
      </c>
      <c r="C9" s="19">
        <v>471677.02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61BE9-B2C2-4E26-A5F9-0343996132E0}">
  <dimension ref="B3:C14"/>
  <sheetViews>
    <sheetView workbookViewId="0">
      <selection activeCell="B3" sqref="B3:C14"/>
    </sheetView>
  </sheetViews>
  <sheetFormatPr defaultRowHeight="14.5" x14ac:dyDescent="0.35"/>
  <cols>
    <col min="2" max="2" width="12.36328125" bestFit="1" customWidth="1"/>
    <col min="3" max="3" width="9.81640625" bestFit="1" customWidth="1"/>
  </cols>
  <sheetData>
    <row r="3" spans="2:3" x14ac:dyDescent="0.35">
      <c r="B3" s="16" t="s">
        <v>223</v>
      </c>
      <c r="C3" t="s">
        <v>225</v>
      </c>
    </row>
    <row r="4" spans="2:3" x14ac:dyDescent="0.35">
      <c r="B4" s="17" t="s">
        <v>25</v>
      </c>
      <c r="C4" s="19">
        <v>57166.78</v>
      </c>
    </row>
    <row r="5" spans="2:3" x14ac:dyDescent="0.35">
      <c r="B5" s="17" t="s">
        <v>213</v>
      </c>
      <c r="C5" s="19">
        <v>23890.1</v>
      </c>
    </row>
    <row r="6" spans="2:3" x14ac:dyDescent="0.35">
      <c r="B6" s="17" t="s">
        <v>10</v>
      </c>
      <c r="C6" s="19">
        <v>41437.83</v>
      </c>
    </row>
    <row r="7" spans="2:3" x14ac:dyDescent="0.35">
      <c r="B7" s="17" t="s">
        <v>39</v>
      </c>
      <c r="C7" s="19">
        <v>16380.1</v>
      </c>
    </row>
    <row r="8" spans="2:3" x14ac:dyDescent="0.35">
      <c r="B8" s="17" t="s">
        <v>28</v>
      </c>
      <c r="C8" s="19">
        <v>182275.01</v>
      </c>
    </row>
    <row r="9" spans="2:3" x14ac:dyDescent="0.35">
      <c r="B9" s="17" t="s">
        <v>32</v>
      </c>
      <c r="C9" s="19">
        <v>84679.75</v>
      </c>
    </row>
    <row r="10" spans="2:3" x14ac:dyDescent="0.35">
      <c r="B10" s="17" t="s">
        <v>21</v>
      </c>
      <c r="C10" s="19">
        <v>9050.19</v>
      </c>
    </row>
    <row r="11" spans="2:3" x14ac:dyDescent="0.35">
      <c r="B11" s="17" t="s">
        <v>18</v>
      </c>
      <c r="C11" s="19">
        <v>35326.76</v>
      </c>
    </row>
    <row r="12" spans="2:3" x14ac:dyDescent="0.35">
      <c r="B12" s="17" t="s">
        <v>220</v>
      </c>
      <c r="C12" s="19">
        <v>12151.48</v>
      </c>
    </row>
    <row r="13" spans="2:3" x14ac:dyDescent="0.35">
      <c r="B13" s="17" t="s">
        <v>23</v>
      </c>
      <c r="C13" s="19">
        <v>9319.02</v>
      </c>
    </row>
    <row r="14" spans="2:3" x14ac:dyDescent="0.35">
      <c r="B14" s="17" t="s">
        <v>224</v>
      </c>
      <c r="C14" s="19">
        <v>471677.02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DBF-AFDF-4029-8BE8-7DAE2985D302}">
  <dimension ref="B3:C16"/>
  <sheetViews>
    <sheetView workbookViewId="0">
      <selection activeCell="B3" sqref="B3:C16"/>
    </sheetView>
  </sheetViews>
  <sheetFormatPr defaultRowHeight="14.5" x14ac:dyDescent="0.35"/>
  <cols>
    <col min="2" max="2" width="12.36328125" bestFit="1" customWidth="1"/>
    <col min="3" max="3" width="9.81640625" bestFit="1" customWidth="1"/>
  </cols>
  <sheetData>
    <row r="3" spans="2:3" x14ac:dyDescent="0.35">
      <c r="B3" s="16" t="s">
        <v>223</v>
      </c>
      <c r="C3" t="s">
        <v>225</v>
      </c>
    </row>
    <row r="4" spans="2:3" x14ac:dyDescent="0.35">
      <c r="B4" s="17" t="s">
        <v>239</v>
      </c>
      <c r="C4" s="19">
        <v>15047.3</v>
      </c>
    </row>
    <row r="5" spans="2:3" x14ac:dyDescent="0.35">
      <c r="B5" s="17" t="s">
        <v>244</v>
      </c>
      <c r="C5" s="19">
        <v>24025.82</v>
      </c>
    </row>
    <row r="6" spans="2:3" x14ac:dyDescent="0.35">
      <c r="B6" s="17" t="s">
        <v>243</v>
      </c>
      <c r="C6" s="19">
        <v>50674.68</v>
      </c>
    </row>
    <row r="7" spans="2:3" x14ac:dyDescent="0.35">
      <c r="B7" s="17" t="s">
        <v>235</v>
      </c>
      <c r="C7" s="19">
        <v>31683.06</v>
      </c>
    </row>
    <row r="8" spans="2:3" x14ac:dyDescent="0.35">
      <c r="B8" s="17" t="s">
        <v>247</v>
      </c>
      <c r="C8" s="19">
        <v>36085.21</v>
      </c>
    </row>
    <row r="9" spans="2:3" x14ac:dyDescent="0.35">
      <c r="B9" s="17" t="s">
        <v>241</v>
      </c>
      <c r="C9" s="19">
        <v>44263.65</v>
      </c>
    </row>
    <row r="10" spans="2:3" x14ac:dyDescent="0.35">
      <c r="B10" s="17" t="s">
        <v>237</v>
      </c>
      <c r="C10" s="19">
        <v>22200.85</v>
      </c>
    </row>
    <row r="11" spans="2:3" x14ac:dyDescent="0.35">
      <c r="B11" s="17" t="s">
        <v>246</v>
      </c>
      <c r="C11" s="19">
        <v>41949.3</v>
      </c>
    </row>
    <row r="12" spans="2:3" x14ac:dyDescent="0.35">
      <c r="B12" s="17" t="s">
        <v>245</v>
      </c>
      <c r="C12" s="19">
        <v>20509.68</v>
      </c>
    </row>
    <row r="13" spans="2:3" x14ac:dyDescent="0.35">
      <c r="B13" s="17" t="s">
        <v>232</v>
      </c>
      <c r="C13" s="19">
        <v>31068.67</v>
      </c>
    </row>
    <row r="14" spans="2:3" x14ac:dyDescent="0.35">
      <c r="B14" s="17" t="s">
        <v>242</v>
      </c>
      <c r="C14" s="19">
        <v>92027.71</v>
      </c>
    </row>
    <row r="15" spans="2:3" x14ac:dyDescent="0.35">
      <c r="B15" s="17" t="s">
        <v>240</v>
      </c>
      <c r="C15" s="19">
        <v>62141.09</v>
      </c>
    </row>
    <row r="16" spans="2:3" x14ac:dyDescent="0.35">
      <c r="B16" s="17" t="s">
        <v>224</v>
      </c>
      <c r="C16" s="19">
        <v>471677.02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EF80-A45C-4451-9459-BDA855738378}">
  <dimension ref="B2:I21"/>
  <sheetViews>
    <sheetView workbookViewId="0">
      <selection activeCell="F18" sqref="F18:H21"/>
    </sheetView>
  </sheetViews>
  <sheetFormatPr defaultRowHeight="14.5" x14ac:dyDescent="0.35"/>
  <cols>
    <col min="2" max="2" width="12.36328125" bestFit="1" customWidth="1"/>
    <col min="3" max="3" width="9.81640625" bestFit="1" customWidth="1"/>
    <col min="5" max="5" width="12.36328125" bestFit="1" customWidth="1"/>
    <col min="6" max="6" width="9.81640625" bestFit="1" customWidth="1"/>
    <col min="7" max="7" width="21.08984375" bestFit="1" customWidth="1"/>
    <col min="8" max="8" width="12.36328125" bestFit="1" customWidth="1"/>
    <col min="9" max="9" width="9.81640625" bestFit="1" customWidth="1"/>
  </cols>
  <sheetData>
    <row r="2" spans="2:9" x14ac:dyDescent="0.35">
      <c r="B2" s="16" t="s">
        <v>223</v>
      </c>
      <c r="C2" t="s">
        <v>225</v>
      </c>
      <c r="E2" s="16" t="s">
        <v>223</v>
      </c>
      <c r="F2" t="s">
        <v>225</v>
      </c>
      <c r="H2" s="16" t="s">
        <v>223</v>
      </c>
      <c r="I2" t="s">
        <v>225</v>
      </c>
    </row>
    <row r="3" spans="2:9" x14ac:dyDescent="0.35">
      <c r="B3" s="17" t="s">
        <v>12</v>
      </c>
      <c r="C3" s="19">
        <v>131662.04</v>
      </c>
      <c r="E3" s="17" t="s">
        <v>25</v>
      </c>
      <c r="F3" s="19">
        <v>57166.78</v>
      </c>
      <c r="H3" s="17" t="s">
        <v>239</v>
      </c>
      <c r="I3" s="19">
        <v>15047.3</v>
      </c>
    </row>
    <row r="4" spans="2:9" x14ac:dyDescent="0.35">
      <c r="B4" s="17" t="s">
        <v>35</v>
      </c>
      <c r="C4" s="19">
        <v>76604.52</v>
      </c>
      <c r="E4" s="17" t="s">
        <v>213</v>
      </c>
      <c r="F4" s="19">
        <v>23890.1</v>
      </c>
      <c r="H4" s="17" t="s">
        <v>244</v>
      </c>
      <c r="I4" s="19">
        <v>24025.82</v>
      </c>
    </row>
    <row r="5" spans="2:9" x14ac:dyDescent="0.35">
      <c r="B5" s="17" t="s">
        <v>8</v>
      </c>
      <c r="C5" s="19">
        <v>82036.44</v>
      </c>
      <c r="E5" s="17" t="s">
        <v>10</v>
      </c>
      <c r="F5" s="19">
        <v>41437.83</v>
      </c>
      <c r="H5" s="17" t="s">
        <v>243</v>
      </c>
      <c r="I5" s="19">
        <v>50674.68</v>
      </c>
    </row>
    <row r="6" spans="2:9" x14ac:dyDescent="0.35">
      <c r="B6" s="17" t="s">
        <v>16</v>
      </c>
      <c r="C6" s="19">
        <v>100712.06</v>
      </c>
      <c r="E6" s="17" t="s">
        <v>39</v>
      </c>
      <c r="F6" s="19">
        <v>16380.1</v>
      </c>
      <c r="H6" s="17" t="s">
        <v>235</v>
      </c>
      <c r="I6" s="19">
        <v>31683.06</v>
      </c>
    </row>
    <row r="7" spans="2:9" x14ac:dyDescent="0.35">
      <c r="B7" s="17" t="s">
        <v>41</v>
      </c>
      <c r="C7" s="19">
        <v>80661.960000000006</v>
      </c>
      <c r="E7" s="17" t="s">
        <v>28</v>
      </c>
      <c r="F7" s="19">
        <v>182275.01</v>
      </c>
      <c r="H7" s="17" t="s">
        <v>247</v>
      </c>
      <c r="I7" s="19">
        <v>36085.21</v>
      </c>
    </row>
    <row r="8" spans="2:9" x14ac:dyDescent="0.35">
      <c r="B8" s="17" t="s">
        <v>224</v>
      </c>
      <c r="C8" s="19">
        <v>471677.02</v>
      </c>
      <c r="E8" s="17" t="s">
        <v>32</v>
      </c>
      <c r="F8" s="19">
        <v>84679.75</v>
      </c>
      <c r="H8" s="17" t="s">
        <v>241</v>
      </c>
      <c r="I8" s="19">
        <v>44263.65</v>
      </c>
    </row>
    <row r="9" spans="2:9" x14ac:dyDescent="0.35">
      <c r="E9" s="17" t="s">
        <v>21</v>
      </c>
      <c r="F9" s="19">
        <v>9050.19</v>
      </c>
      <c r="H9" s="17" t="s">
        <v>237</v>
      </c>
      <c r="I9" s="19">
        <v>22200.85</v>
      </c>
    </row>
    <row r="10" spans="2:9" x14ac:dyDescent="0.35">
      <c r="E10" s="17" t="s">
        <v>18</v>
      </c>
      <c r="F10" s="19">
        <v>35326.76</v>
      </c>
      <c r="H10" s="17" t="s">
        <v>246</v>
      </c>
      <c r="I10" s="19">
        <v>41949.3</v>
      </c>
    </row>
    <row r="11" spans="2:9" x14ac:dyDescent="0.35">
      <c r="E11" s="17" t="s">
        <v>220</v>
      </c>
      <c r="F11" s="19">
        <v>12151.48</v>
      </c>
      <c r="H11" s="17" t="s">
        <v>245</v>
      </c>
      <c r="I11" s="19">
        <v>20509.68</v>
      </c>
    </row>
    <row r="12" spans="2:9" x14ac:dyDescent="0.35">
      <c r="E12" s="17" t="s">
        <v>23</v>
      </c>
      <c r="F12" s="19">
        <v>9319.02</v>
      </c>
      <c r="H12" s="17" t="s">
        <v>232</v>
      </c>
      <c r="I12" s="19">
        <v>31068.67</v>
      </c>
    </row>
    <row r="13" spans="2:9" x14ac:dyDescent="0.35">
      <c r="E13" s="17" t="s">
        <v>224</v>
      </c>
      <c r="F13" s="19">
        <v>471677.02</v>
      </c>
      <c r="H13" s="17" t="s">
        <v>242</v>
      </c>
      <c r="I13" s="19">
        <v>92027.71</v>
      </c>
    </row>
    <row r="14" spans="2:9" x14ac:dyDescent="0.35">
      <c r="H14" s="17" t="s">
        <v>240</v>
      </c>
      <c r="I14" s="19">
        <v>62141.09</v>
      </c>
    </row>
    <row r="15" spans="2:9" x14ac:dyDescent="0.35">
      <c r="H15" s="17" t="s">
        <v>224</v>
      </c>
      <c r="I15" s="19">
        <v>471677.02</v>
      </c>
    </row>
    <row r="18" spans="6:8" x14ac:dyDescent="0.35">
      <c r="F18" s="18" t="s">
        <v>225</v>
      </c>
      <c r="G18" s="18"/>
      <c r="H18" s="18">
        <v>471677.02</v>
      </c>
    </row>
    <row r="19" spans="6:8" x14ac:dyDescent="0.35">
      <c r="F19" s="18" t="s">
        <v>248</v>
      </c>
      <c r="G19" s="18"/>
      <c r="H19" s="18">
        <v>2117</v>
      </c>
    </row>
    <row r="20" spans="6:8" x14ac:dyDescent="0.35">
      <c r="F20" s="18" t="s">
        <v>249</v>
      </c>
      <c r="G20" s="18"/>
      <c r="H20" s="18">
        <v>2358.3851</v>
      </c>
    </row>
    <row r="21" spans="6:8" x14ac:dyDescent="0.35">
      <c r="F21" s="18" t="s">
        <v>250</v>
      </c>
      <c r="G21" s="18"/>
      <c r="H21" s="18">
        <v>10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DCCCC-422B-4D08-BF30-10F4E630AFE5}">
  <dimension ref="B2:W49"/>
  <sheetViews>
    <sheetView showGridLines="0" tabSelected="1" zoomScale="45" zoomScaleNormal="45" zoomScaleSheetLayoutView="48" workbookViewId="0">
      <selection activeCell="AB26" sqref="AB26"/>
    </sheetView>
  </sheetViews>
  <sheetFormatPr defaultRowHeight="14.5" x14ac:dyDescent="0.35"/>
  <cols>
    <col min="3" max="5" width="8.7265625" customWidth="1"/>
  </cols>
  <sheetData>
    <row r="2" spans="2:23" x14ac:dyDescent="0.35">
      <c r="B2" s="20"/>
      <c r="C2" s="20"/>
      <c r="D2" s="20"/>
      <c r="E2" s="20"/>
      <c r="F2" s="20"/>
      <c r="G2" s="20"/>
      <c r="H2" s="20"/>
      <c r="I2" s="20"/>
      <c r="J2" s="20"/>
      <c r="K2" s="20"/>
      <c r="L2" s="20"/>
      <c r="M2" s="20"/>
      <c r="N2" s="20"/>
      <c r="O2" s="20"/>
      <c r="P2" s="20"/>
      <c r="Q2" s="20"/>
      <c r="R2" s="20"/>
      <c r="S2" s="20"/>
      <c r="T2" s="20"/>
      <c r="U2" s="20"/>
      <c r="V2" s="20"/>
      <c r="W2" s="20"/>
    </row>
    <row r="3" spans="2:23" x14ac:dyDescent="0.35">
      <c r="B3" s="20"/>
      <c r="C3" s="20"/>
      <c r="D3" s="20"/>
      <c r="E3" s="20"/>
      <c r="F3" s="20"/>
      <c r="G3" s="20"/>
      <c r="H3" s="20"/>
      <c r="I3" s="20"/>
      <c r="J3" s="20"/>
      <c r="K3" s="20"/>
      <c r="L3" s="20"/>
      <c r="M3" s="20"/>
      <c r="N3" s="20"/>
      <c r="O3" s="20"/>
      <c r="P3" s="20"/>
      <c r="Q3" s="20"/>
      <c r="R3" s="20"/>
      <c r="S3" s="20"/>
      <c r="T3" s="20"/>
      <c r="U3" s="20"/>
      <c r="V3" s="20"/>
      <c r="W3" s="20"/>
    </row>
    <row r="4" spans="2:23" x14ac:dyDescent="0.35">
      <c r="B4" s="20"/>
      <c r="C4" s="20"/>
      <c r="D4" s="20"/>
      <c r="E4" s="20"/>
      <c r="F4" s="20"/>
      <c r="G4" s="20"/>
      <c r="H4" s="20"/>
      <c r="I4" s="20"/>
      <c r="J4" s="20"/>
      <c r="K4" s="20"/>
      <c r="L4" s="20"/>
      <c r="M4" s="20"/>
      <c r="N4" s="20"/>
      <c r="O4" s="20"/>
      <c r="P4" s="20"/>
      <c r="Q4" s="20"/>
      <c r="R4" s="20"/>
      <c r="S4" s="20"/>
      <c r="T4" s="20"/>
      <c r="U4" s="20"/>
      <c r="V4" s="20"/>
      <c r="W4" s="20"/>
    </row>
    <row r="5" spans="2:23" x14ac:dyDescent="0.35">
      <c r="B5" s="20"/>
      <c r="C5" s="20"/>
      <c r="D5" s="20"/>
      <c r="E5" s="20"/>
      <c r="F5" s="20"/>
      <c r="G5" s="20"/>
      <c r="H5" s="20"/>
      <c r="I5" s="20"/>
      <c r="J5" s="20"/>
      <c r="K5" s="20"/>
      <c r="L5" s="20"/>
      <c r="M5" s="20"/>
      <c r="N5" s="20"/>
      <c r="O5" s="20"/>
      <c r="P5" s="20"/>
      <c r="Q5" s="20"/>
      <c r="R5" s="20"/>
      <c r="S5" s="20"/>
      <c r="T5" s="20"/>
      <c r="U5" s="20"/>
      <c r="V5" s="20"/>
      <c r="W5" s="20"/>
    </row>
    <row r="6" spans="2:23" x14ac:dyDescent="0.35">
      <c r="B6" s="20"/>
      <c r="C6" s="20"/>
      <c r="D6" s="20"/>
      <c r="E6" s="20"/>
      <c r="F6" s="20"/>
      <c r="G6" s="20"/>
      <c r="H6" s="20"/>
      <c r="I6" s="20"/>
      <c r="J6" s="20"/>
      <c r="K6" s="20"/>
      <c r="L6" s="20"/>
      <c r="M6" s="20"/>
      <c r="N6" s="20"/>
      <c r="O6" s="20"/>
      <c r="P6" s="20"/>
      <c r="Q6" s="20"/>
      <c r="R6" s="20"/>
      <c r="S6" s="20"/>
      <c r="T6" s="20"/>
      <c r="U6" s="20"/>
      <c r="V6" s="20"/>
      <c r="W6" s="20"/>
    </row>
    <row r="7" spans="2:23" x14ac:dyDescent="0.35">
      <c r="B7" s="20"/>
      <c r="C7" s="20"/>
      <c r="D7" s="20"/>
      <c r="E7" s="20"/>
      <c r="F7" s="20"/>
      <c r="G7" s="20"/>
      <c r="H7" s="20"/>
      <c r="I7" s="20"/>
      <c r="J7" s="20"/>
      <c r="K7" s="20"/>
      <c r="L7" s="20"/>
      <c r="M7" s="20"/>
      <c r="N7" s="20"/>
      <c r="O7" s="20"/>
      <c r="P7" s="20"/>
      <c r="Q7" s="20"/>
      <c r="R7" s="20"/>
      <c r="S7" s="20"/>
      <c r="T7" s="20"/>
      <c r="U7" s="20"/>
      <c r="V7" s="20"/>
      <c r="W7" s="20"/>
    </row>
    <row r="8" spans="2:23" x14ac:dyDescent="0.35">
      <c r="B8" s="20"/>
      <c r="C8" s="20"/>
      <c r="D8" s="20"/>
      <c r="E8" s="20"/>
      <c r="F8" s="20"/>
      <c r="G8" s="20"/>
      <c r="H8" s="20"/>
      <c r="I8" s="20"/>
      <c r="J8" s="20"/>
      <c r="K8" s="20"/>
      <c r="L8" s="20"/>
      <c r="M8" s="20"/>
      <c r="N8" s="20"/>
      <c r="O8" s="20"/>
      <c r="P8" s="20"/>
      <c r="Q8" s="20"/>
      <c r="R8" s="20"/>
      <c r="S8" s="20"/>
      <c r="T8" s="20"/>
      <c r="U8" s="20"/>
      <c r="V8" s="20"/>
      <c r="W8" s="20"/>
    </row>
    <row r="9" spans="2:23" x14ac:dyDescent="0.35">
      <c r="B9" s="20"/>
      <c r="C9" s="20"/>
      <c r="D9" s="20"/>
      <c r="E9" s="20"/>
      <c r="F9" s="20"/>
      <c r="G9" s="20"/>
      <c r="H9" s="20"/>
      <c r="I9" s="20"/>
      <c r="J9" s="20"/>
      <c r="K9" s="20"/>
      <c r="L9" s="20"/>
      <c r="M9" s="20"/>
      <c r="N9" s="20"/>
      <c r="O9" s="20"/>
      <c r="P9" s="20"/>
      <c r="Q9" s="20"/>
      <c r="R9" s="20"/>
      <c r="S9" s="20"/>
      <c r="T9" s="20"/>
      <c r="U9" s="20"/>
      <c r="V9" s="20"/>
      <c r="W9" s="20"/>
    </row>
    <row r="10" spans="2:23" x14ac:dyDescent="0.35">
      <c r="B10" s="20"/>
      <c r="C10" s="20"/>
      <c r="D10" s="20"/>
      <c r="E10" s="20"/>
      <c r="F10" s="20"/>
      <c r="G10" s="20"/>
      <c r="H10" s="20"/>
      <c r="I10" s="20"/>
      <c r="J10" s="20"/>
      <c r="K10" s="20"/>
      <c r="L10" s="20"/>
      <c r="M10" s="20"/>
      <c r="N10" s="20"/>
      <c r="O10" s="20"/>
      <c r="P10" s="20"/>
      <c r="Q10" s="20"/>
      <c r="R10" s="20"/>
      <c r="S10" s="20"/>
      <c r="T10" s="20"/>
      <c r="U10" s="20"/>
      <c r="V10" s="20"/>
      <c r="W10" s="20"/>
    </row>
    <row r="11" spans="2:23" x14ac:dyDescent="0.35">
      <c r="B11" s="20"/>
      <c r="C11" s="20"/>
      <c r="D11" s="20"/>
      <c r="E11" s="20"/>
      <c r="F11" s="20"/>
      <c r="G11" s="20"/>
      <c r="H11" s="20"/>
      <c r="I11" s="20"/>
      <c r="J11" s="20"/>
      <c r="K11" s="20"/>
      <c r="L11" s="20"/>
      <c r="M11" s="20"/>
      <c r="N11" s="20"/>
      <c r="O11" s="20"/>
      <c r="P11" s="20"/>
      <c r="Q11" s="20"/>
      <c r="R11" s="20"/>
      <c r="S11" s="20"/>
      <c r="T11" s="20"/>
      <c r="U11" s="20"/>
      <c r="V11" s="20"/>
      <c r="W11" s="20"/>
    </row>
    <row r="12" spans="2:23" x14ac:dyDescent="0.35">
      <c r="B12" s="20"/>
      <c r="C12" s="20"/>
      <c r="D12" s="20"/>
      <c r="E12" s="20"/>
      <c r="F12" s="20"/>
      <c r="G12" s="20"/>
      <c r="H12" s="20"/>
      <c r="I12" s="20"/>
      <c r="J12" s="20"/>
      <c r="K12" s="20"/>
      <c r="L12" s="20"/>
      <c r="M12" s="20"/>
      <c r="N12" s="20"/>
      <c r="O12" s="20"/>
      <c r="P12" s="20"/>
      <c r="Q12" s="20"/>
      <c r="R12" s="20"/>
      <c r="S12" s="20"/>
      <c r="T12" s="20"/>
      <c r="U12" s="20"/>
      <c r="V12" s="20"/>
      <c r="W12" s="20"/>
    </row>
    <row r="13" spans="2:23" x14ac:dyDescent="0.35">
      <c r="B13" s="20"/>
      <c r="C13" s="20"/>
      <c r="D13" s="20"/>
      <c r="E13" s="20"/>
      <c r="F13" s="20"/>
      <c r="G13" s="20"/>
      <c r="H13" s="20"/>
      <c r="I13" s="20"/>
      <c r="J13" s="20"/>
      <c r="K13" s="20"/>
      <c r="L13" s="20"/>
      <c r="M13" s="20"/>
      <c r="N13" s="20"/>
      <c r="O13" s="20"/>
      <c r="P13" s="20"/>
      <c r="Q13" s="20"/>
      <c r="R13" s="20"/>
      <c r="S13" s="20"/>
      <c r="T13" s="20"/>
      <c r="U13" s="20"/>
      <c r="V13" s="20"/>
      <c r="W13" s="20"/>
    </row>
    <row r="14" spans="2:23" x14ac:dyDescent="0.35">
      <c r="B14" s="20"/>
      <c r="C14" s="20"/>
      <c r="D14" s="20"/>
      <c r="E14" s="20"/>
      <c r="F14" s="20"/>
      <c r="G14" s="20"/>
      <c r="H14" s="20"/>
      <c r="I14" s="20"/>
      <c r="J14" s="20"/>
      <c r="K14" s="20"/>
      <c r="L14" s="20"/>
      <c r="M14" s="20"/>
      <c r="N14" s="20"/>
      <c r="O14" s="20"/>
      <c r="P14" s="20"/>
      <c r="Q14" s="20"/>
      <c r="R14" s="20"/>
      <c r="S14" s="20"/>
      <c r="T14" s="20"/>
      <c r="U14" s="20"/>
      <c r="V14" s="20"/>
      <c r="W14" s="20"/>
    </row>
    <row r="15" spans="2:23" x14ac:dyDescent="0.35">
      <c r="B15" s="20"/>
      <c r="C15" s="20"/>
      <c r="D15" s="20"/>
      <c r="E15" s="20"/>
      <c r="F15" s="20"/>
      <c r="G15" s="20"/>
      <c r="H15" s="20"/>
      <c r="I15" s="20"/>
      <c r="J15" s="20"/>
      <c r="K15" s="20"/>
      <c r="L15" s="20"/>
      <c r="M15" s="20"/>
      <c r="N15" s="20"/>
      <c r="O15" s="20"/>
      <c r="P15" s="20"/>
      <c r="Q15" s="20"/>
      <c r="R15" s="20"/>
      <c r="S15" s="20"/>
      <c r="T15" s="20"/>
      <c r="U15" s="20"/>
      <c r="V15" s="20"/>
      <c r="W15" s="20"/>
    </row>
    <row r="16" spans="2:23" x14ac:dyDescent="0.35">
      <c r="B16" s="20"/>
      <c r="C16" s="20"/>
      <c r="D16" s="20"/>
      <c r="E16" s="20"/>
      <c r="F16" s="20"/>
      <c r="G16" s="20"/>
      <c r="H16" s="20"/>
      <c r="I16" s="20"/>
      <c r="J16" s="20"/>
      <c r="K16" s="20"/>
      <c r="L16" s="20"/>
      <c r="M16" s="20"/>
      <c r="N16" s="20"/>
      <c r="O16" s="20"/>
      <c r="P16" s="20"/>
      <c r="Q16" s="20"/>
      <c r="R16" s="20"/>
      <c r="S16" s="20"/>
      <c r="T16" s="20"/>
      <c r="U16" s="20"/>
      <c r="V16" s="20"/>
      <c r="W16" s="20"/>
    </row>
    <row r="17" spans="2:23" x14ac:dyDescent="0.35">
      <c r="B17" s="20"/>
      <c r="C17" s="20"/>
      <c r="D17" s="20"/>
      <c r="E17" s="20"/>
      <c r="F17" s="20"/>
      <c r="G17" s="20"/>
      <c r="H17" s="20"/>
      <c r="I17" s="20"/>
      <c r="J17" s="20"/>
      <c r="K17" s="20"/>
      <c r="L17" s="20"/>
      <c r="M17" s="20"/>
      <c r="N17" s="20"/>
      <c r="O17" s="20"/>
      <c r="P17" s="20"/>
      <c r="Q17" s="20"/>
      <c r="R17" s="20"/>
      <c r="S17" s="20"/>
      <c r="T17" s="20"/>
      <c r="U17" s="20"/>
      <c r="V17" s="20"/>
      <c r="W17" s="20"/>
    </row>
    <row r="18" spans="2:23" x14ac:dyDescent="0.35">
      <c r="B18" s="20"/>
      <c r="C18" s="20"/>
      <c r="D18" s="20"/>
      <c r="E18" s="20"/>
      <c r="F18" s="20"/>
      <c r="G18" s="20"/>
      <c r="H18" s="20"/>
      <c r="I18" s="20"/>
      <c r="J18" s="20"/>
      <c r="K18" s="20"/>
      <c r="L18" s="20"/>
      <c r="M18" s="20"/>
      <c r="N18" s="20"/>
      <c r="O18" s="20"/>
      <c r="P18" s="20"/>
      <c r="Q18" s="20"/>
      <c r="R18" s="20"/>
      <c r="S18" s="20"/>
      <c r="T18" s="20"/>
      <c r="U18" s="20"/>
      <c r="V18" s="20"/>
      <c r="W18" s="20"/>
    </row>
    <row r="19" spans="2:23" x14ac:dyDescent="0.35">
      <c r="B19" s="20"/>
      <c r="C19" s="20"/>
      <c r="D19" s="20"/>
      <c r="E19" s="20"/>
      <c r="F19" s="20"/>
      <c r="G19" s="20"/>
      <c r="H19" s="20"/>
      <c r="I19" s="20"/>
      <c r="J19" s="20"/>
      <c r="K19" s="20"/>
      <c r="L19" s="20"/>
      <c r="M19" s="20"/>
      <c r="N19" s="20"/>
      <c r="O19" s="20"/>
      <c r="P19" s="20"/>
      <c r="Q19" s="20"/>
      <c r="R19" s="20"/>
      <c r="S19" s="20"/>
      <c r="T19" s="20"/>
      <c r="U19" s="20"/>
      <c r="V19" s="20"/>
      <c r="W19" s="20"/>
    </row>
    <row r="20" spans="2:23" x14ac:dyDescent="0.35">
      <c r="B20" s="20"/>
      <c r="C20" s="20"/>
      <c r="D20" s="20"/>
      <c r="E20" s="20"/>
      <c r="F20" s="20"/>
      <c r="G20" s="20"/>
      <c r="H20" s="20"/>
      <c r="I20" s="20"/>
      <c r="J20" s="20"/>
      <c r="K20" s="20"/>
      <c r="L20" s="20"/>
      <c r="M20" s="20"/>
      <c r="N20" s="20"/>
      <c r="O20" s="20"/>
      <c r="P20" s="20"/>
      <c r="Q20" s="20"/>
      <c r="R20" s="20"/>
      <c r="S20" s="20"/>
      <c r="T20" s="20"/>
      <c r="U20" s="20"/>
      <c r="V20" s="20"/>
      <c r="W20" s="20"/>
    </row>
    <row r="21" spans="2:23" x14ac:dyDescent="0.35">
      <c r="B21" s="20"/>
      <c r="C21" s="20"/>
      <c r="D21" s="20"/>
      <c r="E21" s="20"/>
      <c r="F21" s="20"/>
      <c r="G21" s="20"/>
      <c r="H21" s="20"/>
      <c r="I21" s="20"/>
      <c r="J21" s="20"/>
      <c r="K21" s="20"/>
      <c r="L21" s="20"/>
      <c r="M21" s="20"/>
      <c r="N21" s="20"/>
      <c r="O21" s="20"/>
      <c r="P21" s="20"/>
      <c r="Q21" s="20"/>
      <c r="R21" s="20"/>
      <c r="S21" s="20"/>
      <c r="T21" s="20"/>
      <c r="U21" s="20"/>
      <c r="V21" s="20"/>
      <c r="W21" s="20"/>
    </row>
    <row r="22" spans="2:23" x14ac:dyDescent="0.35">
      <c r="B22" s="20"/>
      <c r="C22" s="20"/>
      <c r="D22" s="20"/>
      <c r="E22" s="20"/>
      <c r="F22" s="20"/>
      <c r="G22" s="20"/>
      <c r="H22" s="20"/>
      <c r="I22" s="20"/>
      <c r="J22" s="20"/>
      <c r="K22" s="20"/>
      <c r="L22" s="20"/>
      <c r="M22" s="20"/>
      <c r="N22" s="20"/>
      <c r="O22" s="20"/>
      <c r="P22" s="20"/>
      <c r="Q22" s="20"/>
      <c r="R22" s="20"/>
      <c r="S22" s="20"/>
      <c r="T22" s="20"/>
      <c r="U22" s="20"/>
      <c r="V22" s="20"/>
      <c r="W22" s="20"/>
    </row>
    <row r="23" spans="2:23" x14ac:dyDescent="0.35">
      <c r="B23" s="20"/>
      <c r="C23" s="20"/>
      <c r="D23" s="20"/>
      <c r="E23" s="20"/>
      <c r="F23" s="20"/>
      <c r="G23" s="20"/>
      <c r="H23" s="20"/>
      <c r="I23" s="20"/>
      <c r="J23" s="20"/>
      <c r="K23" s="20"/>
      <c r="L23" s="20"/>
      <c r="M23" s="20"/>
      <c r="N23" s="20"/>
      <c r="O23" s="20"/>
      <c r="P23" s="20"/>
      <c r="Q23" s="20"/>
      <c r="R23" s="20"/>
      <c r="S23" s="20"/>
      <c r="T23" s="20"/>
      <c r="U23" s="20"/>
      <c r="V23" s="20"/>
      <c r="W23" s="20"/>
    </row>
    <row r="24" spans="2:23" x14ac:dyDescent="0.35">
      <c r="B24" s="20"/>
      <c r="C24" s="20"/>
      <c r="D24" s="20"/>
      <c r="E24" s="20"/>
      <c r="F24" s="20"/>
      <c r="G24" s="20"/>
      <c r="H24" s="20"/>
      <c r="I24" s="20"/>
      <c r="J24" s="20"/>
      <c r="K24" s="20"/>
      <c r="L24" s="20"/>
      <c r="M24" s="20"/>
      <c r="N24" s="20"/>
      <c r="O24" s="20"/>
      <c r="P24" s="20"/>
      <c r="Q24" s="20"/>
      <c r="R24" s="20"/>
      <c r="S24" s="20"/>
      <c r="T24" s="20"/>
      <c r="U24" s="20"/>
      <c r="V24" s="20"/>
      <c r="W24" s="20"/>
    </row>
    <row r="25" spans="2:23" x14ac:dyDescent="0.35">
      <c r="B25" s="20"/>
      <c r="C25" s="20"/>
      <c r="D25" s="20"/>
      <c r="E25" s="20"/>
      <c r="F25" s="20"/>
      <c r="G25" s="20"/>
      <c r="H25" s="20"/>
      <c r="I25" s="20"/>
      <c r="J25" s="20"/>
      <c r="K25" s="20"/>
      <c r="L25" s="20"/>
      <c r="M25" s="20"/>
      <c r="N25" s="20"/>
      <c r="O25" s="20"/>
      <c r="P25" s="20"/>
      <c r="Q25" s="20"/>
      <c r="R25" s="20"/>
      <c r="S25" s="20"/>
      <c r="T25" s="20"/>
      <c r="U25" s="20"/>
      <c r="V25" s="20"/>
      <c r="W25" s="20"/>
    </row>
    <row r="26" spans="2:23" x14ac:dyDescent="0.35">
      <c r="B26" s="20"/>
      <c r="C26" s="20"/>
      <c r="D26" s="20"/>
      <c r="E26" s="20"/>
      <c r="F26" s="20"/>
      <c r="G26" s="20"/>
      <c r="H26" s="20"/>
      <c r="I26" s="20"/>
      <c r="J26" s="20"/>
      <c r="K26" s="20"/>
      <c r="L26" s="20"/>
      <c r="M26" s="20"/>
      <c r="N26" s="20"/>
      <c r="O26" s="20"/>
      <c r="P26" s="20"/>
      <c r="Q26" s="20"/>
      <c r="R26" s="20"/>
      <c r="S26" s="20"/>
      <c r="T26" s="20"/>
      <c r="U26" s="20"/>
      <c r="V26" s="20"/>
      <c r="W26" s="20"/>
    </row>
    <row r="27" spans="2:23" x14ac:dyDescent="0.35">
      <c r="B27" s="20"/>
      <c r="C27" s="20"/>
      <c r="D27" s="20"/>
      <c r="E27" s="20"/>
      <c r="F27" s="20"/>
      <c r="G27" s="20"/>
      <c r="H27" s="20"/>
      <c r="I27" s="20"/>
      <c r="J27" s="20"/>
      <c r="K27" s="20"/>
      <c r="L27" s="20"/>
      <c r="M27" s="20"/>
      <c r="N27" s="20"/>
      <c r="O27" s="20"/>
      <c r="P27" s="20"/>
      <c r="Q27" s="20"/>
      <c r="R27" s="20"/>
      <c r="S27" s="20"/>
      <c r="T27" s="20"/>
      <c r="U27" s="20"/>
      <c r="V27" s="20"/>
      <c r="W27" s="20"/>
    </row>
    <row r="28" spans="2:23" x14ac:dyDescent="0.35">
      <c r="B28" s="20"/>
      <c r="C28" s="20"/>
      <c r="D28" s="20"/>
      <c r="E28" s="20"/>
      <c r="F28" s="20"/>
      <c r="G28" s="20"/>
      <c r="H28" s="20"/>
      <c r="I28" s="20"/>
      <c r="J28" s="20"/>
      <c r="K28" s="20"/>
      <c r="L28" s="20"/>
      <c r="M28" s="20"/>
      <c r="N28" s="20"/>
      <c r="O28" s="20"/>
      <c r="P28" s="20"/>
      <c r="Q28" s="20"/>
      <c r="R28" s="20"/>
      <c r="S28" s="20"/>
      <c r="T28" s="20"/>
      <c r="U28" s="20"/>
      <c r="V28" s="20"/>
      <c r="W28" s="20"/>
    </row>
    <row r="29" spans="2:23" x14ac:dyDescent="0.35">
      <c r="B29" s="20"/>
      <c r="C29" s="20"/>
      <c r="D29" s="20"/>
      <c r="E29" s="20"/>
      <c r="F29" s="20"/>
      <c r="G29" s="20"/>
      <c r="H29" s="20"/>
      <c r="I29" s="20"/>
      <c r="J29" s="20"/>
      <c r="K29" s="20"/>
      <c r="L29" s="20"/>
      <c r="M29" s="20"/>
      <c r="N29" s="20"/>
      <c r="O29" s="20"/>
      <c r="P29" s="20"/>
      <c r="Q29" s="20"/>
      <c r="R29" s="20"/>
      <c r="S29" s="20"/>
      <c r="T29" s="20"/>
      <c r="U29" s="20"/>
      <c r="V29" s="20"/>
      <c r="W29" s="20"/>
    </row>
    <row r="30" spans="2:23" x14ac:dyDescent="0.35">
      <c r="B30" s="20"/>
      <c r="C30" s="20"/>
      <c r="D30" s="20"/>
      <c r="E30" s="20"/>
      <c r="F30" s="20"/>
      <c r="G30" s="20"/>
      <c r="H30" s="20"/>
      <c r="I30" s="20"/>
      <c r="J30" s="20"/>
      <c r="K30" s="20"/>
      <c r="L30" s="20"/>
      <c r="M30" s="20"/>
      <c r="N30" s="20"/>
      <c r="O30" s="20"/>
      <c r="P30" s="20"/>
      <c r="Q30" s="20"/>
      <c r="R30" s="20"/>
      <c r="S30" s="20"/>
      <c r="T30" s="20"/>
      <c r="U30" s="20"/>
      <c r="V30" s="20"/>
      <c r="W30" s="20"/>
    </row>
    <row r="31" spans="2:23" x14ac:dyDescent="0.35">
      <c r="B31" s="20"/>
      <c r="C31" s="20"/>
      <c r="D31" s="20"/>
      <c r="E31" s="20"/>
      <c r="F31" s="20"/>
      <c r="G31" s="20"/>
      <c r="H31" s="20"/>
      <c r="I31" s="20"/>
      <c r="J31" s="20"/>
      <c r="K31" s="20"/>
      <c r="L31" s="20"/>
      <c r="M31" s="20"/>
      <c r="N31" s="20"/>
      <c r="O31" s="20"/>
      <c r="P31" s="20"/>
      <c r="Q31" s="20"/>
      <c r="R31" s="20"/>
      <c r="S31" s="20"/>
      <c r="T31" s="20"/>
      <c r="U31" s="20"/>
      <c r="V31" s="20"/>
      <c r="W31" s="20"/>
    </row>
    <row r="32" spans="2:23" x14ac:dyDescent="0.35">
      <c r="B32" s="20"/>
      <c r="C32" s="20"/>
      <c r="D32" s="20"/>
      <c r="E32" s="20"/>
      <c r="F32" s="20"/>
      <c r="G32" s="20"/>
      <c r="H32" s="20"/>
      <c r="I32" s="20"/>
      <c r="J32" s="20"/>
      <c r="K32" s="20"/>
      <c r="L32" s="20"/>
      <c r="M32" s="20"/>
      <c r="N32" s="20"/>
      <c r="O32" s="20"/>
      <c r="P32" s="20"/>
      <c r="Q32" s="20"/>
      <c r="R32" s="20"/>
      <c r="S32" s="20"/>
      <c r="T32" s="20"/>
      <c r="U32" s="20"/>
      <c r="V32" s="20"/>
      <c r="W32" s="20"/>
    </row>
    <row r="33" spans="2:23" x14ac:dyDescent="0.35">
      <c r="B33" s="20"/>
      <c r="C33" s="20"/>
      <c r="D33" s="20"/>
      <c r="E33" s="20"/>
      <c r="F33" s="20"/>
      <c r="G33" s="20"/>
      <c r="H33" s="20"/>
      <c r="I33" s="20"/>
      <c r="J33" s="20"/>
      <c r="K33" s="20"/>
      <c r="L33" s="20"/>
      <c r="M33" s="20"/>
      <c r="N33" s="20"/>
      <c r="O33" s="20"/>
      <c r="P33" s="20"/>
      <c r="Q33" s="20"/>
      <c r="R33" s="20"/>
      <c r="S33" s="20"/>
      <c r="T33" s="20"/>
      <c r="U33" s="20"/>
      <c r="V33" s="20"/>
      <c r="W33" s="20"/>
    </row>
    <row r="34" spans="2:23" x14ac:dyDescent="0.35">
      <c r="B34" s="20"/>
      <c r="C34" s="20"/>
      <c r="D34" s="20"/>
      <c r="E34" s="20"/>
      <c r="F34" s="20"/>
      <c r="G34" s="20"/>
      <c r="H34" s="20"/>
      <c r="I34" s="20"/>
      <c r="J34" s="20"/>
      <c r="K34" s="20"/>
      <c r="L34" s="20"/>
      <c r="M34" s="20"/>
      <c r="N34" s="20"/>
      <c r="O34" s="20"/>
      <c r="P34" s="20"/>
      <c r="Q34" s="20"/>
      <c r="R34" s="20"/>
      <c r="S34" s="20"/>
      <c r="T34" s="20"/>
      <c r="U34" s="20"/>
      <c r="V34" s="20"/>
      <c r="W34" s="20"/>
    </row>
    <row r="35" spans="2:23" x14ac:dyDescent="0.35">
      <c r="B35" s="20"/>
      <c r="C35" s="20"/>
      <c r="D35" s="20"/>
      <c r="E35" s="20"/>
      <c r="F35" s="20"/>
      <c r="G35" s="20"/>
      <c r="H35" s="20"/>
      <c r="I35" s="20"/>
      <c r="J35" s="20"/>
      <c r="K35" s="20"/>
      <c r="L35" s="20"/>
      <c r="M35" s="20"/>
      <c r="N35" s="20"/>
      <c r="O35" s="20"/>
      <c r="P35" s="20"/>
      <c r="Q35" s="20"/>
      <c r="R35" s="20"/>
      <c r="S35" s="20"/>
      <c r="T35" s="20"/>
      <c r="U35" s="20"/>
      <c r="V35" s="20"/>
      <c r="W35" s="20"/>
    </row>
    <row r="36" spans="2:23" x14ac:dyDescent="0.35">
      <c r="B36" s="20"/>
      <c r="C36" s="20"/>
      <c r="D36" s="20"/>
      <c r="E36" s="20"/>
      <c r="F36" s="20"/>
      <c r="G36" s="20"/>
      <c r="H36" s="20"/>
      <c r="I36" s="20"/>
      <c r="J36" s="20"/>
      <c r="K36" s="20"/>
      <c r="L36" s="20"/>
      <c r="M36" s="20"/>
      <c r="N36" s="20"/>
      <c r="O36" s="20"/>
      <c r="P36" s="20"/>
      <c r="Q36" s="20"/>
      <c r="R36" s="20"/>
      <c r="S36" s="20"/>
      <c r="T36" s="20"/>
      <c r="U36" s="20"/>
      <c r="V36" s="20"/>
      <c r="W36" s="20"/>
    </row>
    <row r="37" spans="2:23" x14ac:dyDescent="0.35">
      <c r="B37" s="20"/>
      <c r="C37" s="20"/>
      <c r="D37" s="20"/>
      <c r="E37" s="20"/>
      <c r="F37" s="20"/>
      <c r="G37" s="20"/>
      <c r="H37" s="20"/>
      <c r="I37" s="20"/>
      <c r="J37" s="20"/>
      <c r="K37" s="20"/>
      <c r="L37" s="20"/>
      <c r="M37" s="20"/>
      <c r="N37" s="20"/>
      <c r="O37" s="20"/>
      <c r="P37" s="20"/>
      <c r="Q37" s="20"/>
      <c r="R37" s="20"/>
      <c r="S37" s="20"/>
      <c r="T37" s="20"/>
      <c r="U37" s="20"/>
      <c r="V37" s="20"/>
      <c r="W37" s="20"/>
    </row>
    <row r="38" spans="2:23" x14ac:dyDescent="0.35">
      <c r="B38" s="20"/>
      <c r="C38" s="20"/>
      <c r="D38" s="20"/>
      <c r="E38" s="20"/>
      <c r="F38" s="20"/>
      <c r="G38" s="20"/>
      <c r="H38" s="20"/>
      <c r="I38" s="20"/>
      <c r="J38" s="20"/>
      <c r="K38" s="20"/>
      <c r="L38" s="20"/>
      <c r="M38" s="20"/>
      <c r="N38" s="20"/>
      <c r="O38" s="20"/>
      <c r="P38" s="20"/>
      <c r="Q38" s="20"/>
      <c r="R38" s="20"/>
      <c r="S38" s="20"/>
      <c r="T38" s="20"/>
      <c r="U38" s="20"/>
      <c r="V38" s="20"/>
      <c r="W38" s="20"/>
    </row>
    <row r="39" spans="2:23" x14ac:dyDescent="0.35">
      <c r="B39" s="20"/>
      <c r="C39" s="20"/>
      <c r="D39" s="20"/>
      <c r="E39" s="20"/>
      <c r="F39" s="20"/>
      <c r="G39" s="20"/>
      <c r="H39" s="20"/>
      <c r="I39" s="20"/>
      <c r="J39" s="20"/>
      <c r="K39" s="20"/>
      <c r="L39" s="20"/>
      <c r="M39" s="20"/>
      <c r="N39" s="20"/>
      <c r="O39" s="20"/>
      <c r="P39" s="20"/>
      <c r="Q39" s="20"/>
      <c r="R39" s="20"/>
      <c r="S39" s="20"/>
      <c r="T39" s="20"/>
      <c r="U39" s="20"/>
      <c r="V39" s="20"/>
      <c r="W39" s="20"/>
    </row>
    <row r="40" spans="2:23" x14ac:dyDescent="0.35">
      <c r="B40" s="20"/>
      <c r="C40" s="20"/>
      <c r="D40" s="20"/>
      <c r="E40" s="20"/>
      <c r="F40" s="20"/>
      <c r="G40" s="20"/>
      <c r="H40" s="20"/>
      <c r="I40" s="20"/>
      <c r="J40" s="20"/>
      <c r="K40" s="20"/>
      <c r="L40" s="20"/>
      <c r="M40" s="20"/>
      <c r="N40" s="20"/>
      <c r="O40" s="20"/>
      <c r="P40" s="20"/>
      <c r="Q40" s="20"/>
      <c r="R40" s="20"/>
      <c r="S40" s="20"/>
      <c r="T40" s="20"/>
      <c r="U40" s="20"/>
      <c r="V40" s="20"/>
      <c r="W40" s="20"/>
    </row>
    <row r="41" spans="2:23" x14ac:dyDescent="0.35">
      <c r="B41" s="20"/>
      <c r="C41" s="20"/>
      <c r="D41" s="20"/>
      <c r="E41" s="20"/>
      <c r="F41" s="20"/>
      <c r="G41" s="20"/>
      <c r="H41" s="20"/>
      <c r="I41" s="20"/>
      <c r="J41" s="20"/>
      <c r="K41" s="20"/>
      <c r="L41" s="20"/>
      <c r="M41" s="20"/>
      <c r="N41" s="20"/>
      <c r="O41" s="20"/>
      <c r="P41" s="20"/>
      <c r="Q41" s="20"/>
      <c r="R41" s="20"/>
      <c r="S41" s="20"/>
      <c r="T41" s="20"/>
      <c r="U41" s="20"/>
      <c r="V41" s="20"/>
      <c r="W41" s="20"/>
    </row>
    <row r="42" spans="2:23" x14ac:dyDescent="0.35">
      <c r="B42" s="20"/>
      <c r="C42" s="20"/>
      <c r="D42" s="20"/>
      <c r="E42" s="20"/>
      <c r="F42" s="20"/>
      <c r="G42" s="20"/>
      <c r="H42" s="20"/>
      <c r="I42" s="20"/>
      <c r="J42" s="20"/>
      <c r="K42" s="20"/>
      <c r="L42" s="20"/>
      <c r="M42" s="20"/>
      <c r="N42" s="20"/>
      <c r="O42" s="20"/>
      <c r="P42" s="20"/>
      <c r="Q42" s="20"/>
      <c r="R42" s="20"/>
      <c r="S42" s="20"/>
      <c r="T42" s="20"/>
      <c r="U42" s="20"/>
      <c r="V42" s="20"/>
      <c r="W42" s="20"/>
    </row>
    <row r="43" spans="2:23" x14ac:dyDescent="0.35">
      <c r="B43" s="20"/>
      <c r="C43" s="20"/>
      <c r="D43" s="20"/>
      <c r="E43" s="20"/>
      <c r="F43" s="20"/>
      <c r="G43" s="20"/>
      <c r="H43" s="20"/>
      <c r="I43" s="20"/>
      <c r="J43" s="20"/>
      <c r="K43" s="20"/>
      <c r="L43" s="20"/>
      <c r="M43" s="20"/>
      <c r="N43" s="20"/>
      <c r="O43" s="20"/>
      <c r="P43" s="20"/>
      <c r="Q43" s="20"/>
      <c r="R43" s="20"/>
      <c r="S43" s="20"/>
      <c r="T43" s="20"/>
      <c r="U43" s="20"/>
      <c r="V43" s="20"/>
      <c r="W43" s="20"/>
    </row>
    <row r="44" spans="2:23" x14ac:dyDescent="0.35">
      <c r="B44" s="20"/>
      <c r="C44" s="20"/>
      <c r="D44" s="20"/>
      <c r="E44" s="20"/>
      <c r="F44" s="20"/>
      <c r="G44" s="20"/>
      <c r="H44" s="20"/>
      <c r="I44" s="20"/>
      <c r="J44" s="20"/>
      <c r="K44" s="20"/>
      <c r="L44" s="20"/>
      <c r="M44" s="20"/>
      <c r="N44" s="20"/>
      <c r="O44" s="20"/>
      <c r="P44" s="20"/>
      <c r="Q44" s="20"/>
      <c r="R44" s="20"/>
      <c r="S44" s="20"/>
      <c r="T44" s="20"/>
      <c r="U44" s="20"/>
      <c r="V44" s="20"/>
      <c r="W44" s="20"/>
    </row>
    <row r="45" spans="2:23" x14ac:dyDescent="0.35">
      <c r="B45" s="20"/>
      <c r="C45" s="20"/>
      <c r="D45" s="20"/>
      <c r="E45" s="20"/>
      <c r="F45" s="20"/>
      <c r="G45" s="20"/>
      <c r="H45" s="20"/>
      <c r="I45" s="20"/>
      <c r="J45" s="20"/>
      <c r="K45" s="20"/>
      <c r="L45" s="20"/>
      <c r="M45" s="20"/>
      <c r="N45" s="20"/>
      <c r="O45" s="20"/>
      <c r="P45" s="20"/>
      <c r="Q45" s="20"/>
      <c r="R45" s="20"/>
      <c r="S45" s="20"/>
      <c r="T45" s="20"/>
      <c r="U45" s="20"/>
      <c r="V45" s="20"/>
      <c r="W45" s="20"/>
    </row>
    <row r="46" spans="2:23" x14ac:dyDescent="0.35">
      <c r="B46" s="20"/>
      <c r="C46" s="20"/>
      <c r="D46" s="20"/>
      <c r="E46" s="20"/>
      <c r="F46" s="20"/>
      <c r="G46" s="20"/>
      <c r="H46" s="20"/>
      <c r="I46" s="20"/>
      <c r="J46" s="20"/>
      <c r="K46" s="20"/>
      <c r="L46" s="20"/>
      <c r="M46" s="20"/>
      <c r="N46" s="20"/>
      <c r="O46" s="20"/>
      <c r="P46" s="20"/>
      <c r="Q46" s="20"/>
      <c r="R46" s="20"/>
      <c r="S46" s="20"/>
      <c r="T46" s="20"/>
      <c r="U46" s="20"/>
      <c r="V46" s="20"/>
      <c r="W46" s="20"/>
    </row>
    <row r="47" spans="2:23" x14ac:dyDescent="0.35">
      <c r="B47" s="20"/>
      <c r="C47" s="20"/>
      <c r="D47" s="20"/>
      <c r="E47" s="20"/>
      <c r="F47" s="20"/>
      <c r="G47" s="20"/>
      <c r="H47" s="20"/>
      <c r="I47" s="20"/>
      <c r="J47" s="20"/>
      <c r="K47" s="20"/>
      <c r="L47" s="20"/>
      <c r="M47" s="20"/>
      <c r="N47" s="20"/>
      <c r="O47" s="20"/>
      <c r="P47" s="20"/>
      <c r="Q47" s="20"/>
      <c r="R47" s="20"/>
      <c r="S47" s="20"/>
      <c r="T47" s="20"/>
      <c r="U47" s="20"/>
      <c r="V47" s="20"/>
      <c r="W47" s="20"/>
    </row>
    <row r="48" spans="2:23" x14ac:dyDescent="0.35">
      <c r="B48" s="20"/>
      <c r="C48" s="20"/>
      <c r="D48" s="20"/>
      <c r="E48" s="20"/>
      <c r="F48" s="20"/>
      <c r="G48" s="20"/>
      <c r="H48" s="20"/>
      <c r="I48" s="20"/>
      <c r="J48" s="20"/>
      <c r="K48" s="20"/>
      <c r="L48" s="20"/>
      <c r="M48" s="20"/>
      <c r="N48" s="20"/>
      <c r="O48" s="20"/>
      <c r="P48" s="20"/>
      <c r="Q48" s="20"/>
      <c r="R48" s="20"/>
      <c r="S48" s="20"/>
      <c r="T48" s="20"/>
      <c r="U48" s="20"/>
      <c r="V48" s="20"/>
      <c r="W48" s="20"/>
    </row>
    <row r="49" spans="2:23" x14ac:dyDescent="0.35">
      <c r="B49" s="20"/>
      <c r="C49" s="20"/>
      <c r="D49" s="20"/>
      <c r="E49" s="20"/>
      <c r="F49" s="20"/>
      <c r="G49" s="20"/>
      <c r="H49" s="20"/>
      <c r="I49" s="20"/>
      <c r="J49" s="20"/>
      <c r="K49" s="20"/>
      <c r="L49" s="20"/>
      <c r="M49" s="20"/>
      <c r="N49" s="20"/>
      <c r="O49" s="20"/>
      <c r="P49" s="20"/>
      <c r="Q49" s="20"/>
      <c r="R49" s="20"/>
      <c r="S49" s="20"/>
      <c r="T49" s="20"/>
      <c r="U49" s="20"/>
      <c r="V49" s="20"/>
      <c r="W49" s="20"/>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347510F3-3F03-4BC9-9554-82AF51A2D7BE}">
  <ds:schemaRefs/>
</ds:datastoreItem>
</file>

<file path=customXml/itemProps2.xml><?xml version="1.0" encoding="utf-8"?>
<ds:datastoreItem xmlns:ds="http://schemas.openxmlformats.org/officeDocument/2006/customXml" ds:itemID="{DB1C7084-877F-4DE9-B247-70427B566C48}">
  <ds:schemaRefs/>
</ds:datastoreItem>
</file>

<file path=customXml/itemProps3.xml><?xml version="1.0" encoding="utf-8"?>
<ds:datastoreItem xmlns:ds="http://schemas.openxmlformats.org/officeDocument/2006/customXml" ds:itemID="{C45D3FDD-2854-478E-BF7D-C5585FFDC6D6}">
  <ds:schemaRefs/>
</ds:datastoreItem>
</file>

<file path=customXml/itemProps4.xml><?xml version="1.0" encoding="utf-8"?>
<ds:datastoreItem xmlns:ds="http://schemas.openxmlformats.org/officeDocument/2006/customXml" ds:itemID="{221D349A-47EE-42F2-8DCE-B124DA5BBB1C}">
  <ds:schemaRefs/>
</ds:datastoreItem>
</file>

<file path=customXml/itemProps5.xml><?xml version="1.0" encoding="utf-8"?>
<ds:datastoreItem xmlns:ds="http://schemas.openxmlformats.org/officeDocument/2006/customXml" ds:itemID="{CC5534DC-879A-42AD-8968-2CF90AC958B4}">
  <ds:schemaRefs/>
</ds:datastoreItem>
</file>

<file path=customXml/itemProps6.xml><?xml version="1.0" encoding="utf-8"?>
<ds:datastoreItem xmlns:ds="http://schemas.openxmlformats.org/officeDocument/2006/customXml" ds:itemID="{23560BFE-E5AC-41A7-8BFC-ED4A8A996398}">
  <ds:schemaRefs/>
</ds:datastoreItem>
</file>

<file path=customXml/itemProps7.xml><?xml version="1.0" encoding="utf-8"?>
<ds:datastoreItem xmlns:ds="http://schemas.openxmlformats.org/officeDocument/2006/customXml" ds:itemID="{525592D6-FB60-44FA-B713-F1B6EA77E30F}">
  <ds:schemaRefs/>
</ds:datastoreItem>
</file>

<file path=customXml/itemProps8.xml><?xml version="1.0" encoding="utf-8"?>
<ds:datastoreItem xmlns:ds="http://schemas.openxmlformats.org/officeDocument/2006/customXml" ds:itemID="{F95A131A-E762-4875-9ADC-3D893FB11D65}">
  <ds:schemaRefs/>
</ds:datastoreItem>
</file>

<file path=customXml/itemProps9.xml><?xml version="1.0" encoding="utf-8"?>
<ds:datastoreItem xmlns:ds="http://schemas.openxmlformats.org/officeDocument/2006/customXml" ds:itemID="{8177F6BF-4C3F-4AB3-A7D5-D601B84EDEA5}">
  <ds:schemaRefs/>
</ds:datastoreItem>
</file>

<file path=customXml/itemProps10.xml><?xml version="1.0" encoding="utf-8"?>
<ds:datastoreItem xmlns:ds="http://schemas.openxmlformats.org/officeDocument/2006/customXml" ds:itemID="{D75DC81B-71AA-4FC2-99AE-67DEF6EFF73B}">
  <ds:schemaRefs/>
</ds:datastoreItem>
</file>

<file path=customXml/itemProps11.xml><?xml version="1.0" encoding="utf-8"?>
<ds:datastoreItem xmlns:ds="http://schemas.openxmlformats.org/officeDocument/2006/customXml" ds:itemID="{77AA542D-FCCA-4748-89F5-5A7C589BFBA5}">
  <ds:schemaRefs/>
</ds:datastoreItem>
</file>

<file path=customXml/itemProps12.xml><?xml version="1.0" encoding="utf-8"?>
<ds:datastoreItem xmlns:ds="http://schemas.openxmlformats.org/officeDocument/2006/customXml" ds:itemID="{A3D97293-593D-4AF7-A380-405A8495CE2F}">
  <ds:schemaRefs/>
</ds:datastoreItem>
</file>

<file path=customXml/itemProps13.xml><?xml version="1.0" encoding="utf-8"?>
<ds:datastoreItem xmlns:ds="http://schemas.openxmlformats.org/officeDocument/2006/customXml" ds:itemID="{1F354917-BB34-4D73-A24F-380162B9AE53}">
  <ds:schemaRefs/>
</ds:datastoreItem>
</file>

<file path=customXml/itemProps14.xml><?xml version="1.0" encoding="utf-8"?>
<ds:datastoreItem xmlns:ds="http://schemas.openxmlformats.org/officeDocument/2006/customXml" ds:itemID="{41398A39-4EC7-4BB0-B55C-A0E48A5D9047}">
  <ds:schemaRefs/>
</ds:datastoreItem>
</file>

<file path=customXml/itemProps15.xml><?xml version="1.0" encoding="utf-8"?>
<ds:datastoreItem xmlns:ds="http://schemas.openxmlformats.org/officeDocument/2006/customXml" ds:itemID="{71ED86AF-3F2E-490B-AC00-654C1596E0EA}">
  <ds:schemaRefs/>
</ds:datastoreItem>
</file>

<file path=customXml/itemProps16.xml><?xml version="1.0" encoding="utf-8"?>
<ds:datastoreItem xmlns:ds="http://schemas.openxmlformats.org/officeDocument/2006/customXml" ds:itemID="{87FD4EA4-A400-45BC-834A-10A3FB28A74F}">
  <ds:schemaRefs/>
</ds:datastoreItem>
</file>

<file path=customXml/itemProps17.xml><?xml version="1.0" encoding="utf-8"?>
<ds:datastoreItem xmlns:ds="http://schemas.openxmlformats.org/officeDocument/2006/customXml" ds:itemID="{DD423C6B-A9E6-482F-A346-546750A72F5B}">
  <ds:schemaRefs/>
</ds:datastoreItem>
</file>

<file path=customXml/itemProps18.xml><?xml version="1.0" encoding="utf-8"?>
<ds:datastoreItem xmlns:ds="http://schemas.openxmlformats.org/officeDocument/2006/customXml" ds:itemID="{C47D0250-78EE-45FD-9B2F-40DBDE1BBA86}">
  <ds:schemaRefs/>
</ds:datastoreItem>
</file>

<file path=customXml/itemProps19.xml><?xml version="1.0" encoding="utf-8"?>
<ds:datastoreItem xmlns:ds="http://schemas.openxmlformats.org/officeDocument/2006/customXml" ds:itemID="{6670A4DE-957A-4DB7-81B6-9F55A1AC4240}">
  <ds:schemaRefs/>
</ds:datastoreItem>
</file>

<file path=customXml/itemProps20.xml><?xml version="1.0" encoding="utf-8"?>
<ds:datastoreItem xmlns:ds="http://schemas.openxmlformats.org/officeDocument/2006/customXml" ds:itemID="{793235DF-DFFA-458A-8A58-E41C32522FC0}">
  <ds:schemaRefs/>
</ds:datastoreItem>
</file>

<file path=customXml/itemProps21.xml><?xml version="1.0" encoding="utf-8"?>
<ds:datastoreItem xmlns:ds="http://schemas.openxmlformats.org/officeDocument/2006/customXml" ds:itemID="{3F75CF11-C80F-4C02-AD18-C20BD1E8FF62}">
  <ds:schemaRefs/>
</ds:datastoreItem>
</file>

<file path=customXml/itemProps22.xml><?xml version="1.0" encoding="utf-8"?>
<ds:datastoreItem xmlns:ds="http://schemas.openxmlformats.org/officeDocument/2006/customXml" ds:itemID="{CFE76FC7-6F3A-4AF1-A1BC-1D1965087B7E}">
  <ds:schemaRefs/>
</ds:datastoreItem>
</file>

<file path=customXml/itemProps23.xml><?xml version="1.0" encoding="utf-8"?>
<ds:datastoreItem xmlns:ds="http://schemas.openxmlformats.org/officeDocument/2006/customXml" ds:itemID="{8B4C9E5F-D6B7-41D3-84F1-C0A7875D0B91}">
  <ds:schemaRefs/>
</ds:datastoreItem>
</file>

<file path=customXml/itemProps24.xml><?xml version="1.0" encoding="utf-8"?>
<ds:datastoreItem xmlns:ds="http://schemas.openxmlformats.org/officeDocument/2006/customXml" ds:itemID="{EEAA37A1-6D53-415E-9550-ABAB6907CE3E}">
  <ds:schemaRefs/>
</ds:datastoreItem>
</file>

<file path=customXml/itemProps25.xml><?xml version="1.0" encoding="utf-8"?>
<ds:datastoreItem xmlns:ds="http://schemas.openxmlformats.org/officeDocument/2006/customXml" ds:itemID="{E7AF5C2D-E726-49B7-997E-8D93DE7434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 </vt:lpstr>
      <vt:lpstr>Cleaned Data</vt:lpstr>
      <vt:lpstr>Region wise total sales</vt:lpstr>
      <vt:lpstr>Product wise total sales</vt:lpstr>
      <vt:lpstr>Month wise total sales</vt:lpstr>
      <vt:lpstr>Helper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Asif Ahamed Sohag</dc:creator>
  <cp:lastModifiedBy>t39251</cp:lastModifiedBy>
  <cp:lastPrinted>2026-06-26T15:42:48Z</cp:lastPrinted>
  <dcterms:created xsi:type="dcterms:W3CDTF">2015-06-05T18:17:20Z</dcterms:created>
  <dcterms:modified xsi:type="dcterms:W3CDTF">2026-06-26T19:56:10Z</dcterms:modified>
</cp:coreProperties>
</file>